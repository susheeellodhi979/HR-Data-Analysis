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D35404A8-008E-4AEA-BEB4-03BE2A2231F7}" xr6:coauthVersionLast="47" xr6:coauthVersionMax="47" xr10:uidLastSave="{00000000-0000-0000-0000-000000000000}"/>
  <bookViews>
    <workbookView xWindow="-108" yWindow="-108" windowWidth="23256" windowHeight="13896" firstSheet="4" activeTab="9" xr2:uid="{00000000-000D-0000-FFFF-FFFF00000000}"/>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group" sheetId="13" r:id="rId7"/>
    <sheet name="Marital Status" sheetId="14" r:id="rId8"/>
    <sheet name="Data" sheetId="1" r:id="rId9"/>
    <sheet name="Dashboard" sheetId="4" r:id="rId10"/>
    <sheet name="Background 3" sheetId="5" r:id="rId11"/>
  </sheets>
  <definedNames>
    <definedName name="_xlchart.v1.0" hidden="1">'Attrition by job'!$D$4:$D$12</definedName>
    <definedName name="_xlchart.v1.1" hidden="1">'Attrition by job'!$E$4:$E$12</definedName>
    <definedName name="_xlchart.v1.6" hidden="1">'Attrition by job'!$D$4:$D$12</definedName>
    <definedName name="_xlchart.v1.7" hidden="1">'Attrition by job'!$E$4:$E$12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Slicer_Department">#N/A</definedName>
    <definedName name="Slicer_Education_Field2">#N/A</definedName>
    <definedName name="Slicer_Gender2">#N/A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E5" i="14" l="1"/>
  <c r="E6" i="14"/>
  <c r="E4" i="14"/>
  <c r="D5" i="14"/>
  <c r="D6" i="14"/>
  <c r="D4" i="14"/>
  <c r="E5" i="11"/>
  <c r="E6" i="11"/>
  <c r="E7" i="11"/>
  <c r="E8" i="11"/>
  <c r="E9" i="11"/>
  <c r="E10" i="11"/>
  <c r="E11" i="11"/>
  <c r="E12" i="11"/>
  <c r="E4" i="11"/>
  <c r="D5" i="11"/>
  <c r="D6" i="11"/>
  <c r="D7" i="11"/>
  <c r="D8" i="11"/>
  <c r="D9" i="11"/>
  <c r="D10" i="11"/>
  <c r="D11" i="11"/>
  <c r="D12" i="11"/>
  <c r="D4" i="11"/>
  <c r="B11" i="9"/>
  <c r="B10" i="9"/>
  <c r="B6" i="8"/>
  <c r="B7" i="8" s="1"/>
  <c r="C7" i="8" s="1"/>
  <c r="C8" i="7"/>
  <c r="B8" i="7"/>
  <c r="A8" i="7"/>
  <c r="C11" i="9" l="1"/>
  <c r="C10" i="9"/>
  <c r="C6" i="8"/>
  <c r="D8" i="7"/>
  <c r="E8" i="7"/>
</calcChain>
</file>

<file path=xl/sharedStrings.xml><?xml version="1.0" encoding="utf-8"?>
<sst xmlns="http://schemas.openxmlformats.org/spreadsheetml/2006/main" count="19215" uniqueCount="1570">
  <si>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</si>
  <si>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</si>
  <si>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</si>
  <si>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</si>
  <si>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</si>
  <si>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</si>
  <si>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</si>
  <si>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</si>
  <si>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</si>
  <si>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</si>
  <si>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</si>
  <si>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</si>
  <si>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</si>
  <si>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</si>
  <si>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</si>
  <si>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</si>
  <si>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</si>
  <si>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</si>
  <si>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</si>
  <si>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</si>
  <si>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</si>
  <si>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</si>
  <si>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</si>
  <si>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</si>
  <si>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</si>
  <si>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</si>
  <si>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</si>
  <si>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</si>
  <si>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</si>
  <si>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</si>
  <si>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</si>
  <si>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</si>
  <si>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</si>
  <si>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</si>
  <si>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</si>
  <si>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</si>
  <si>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</si>
  <si>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</si>
  <si>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</si>
  <si>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</si>
  <si>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</si>
  <si>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</si>
  <si>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</si>
  <si>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</si>
  <si>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</si>
  <si>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</si>
  <si>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</si>
  <si>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</si>
  <si>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</si>
  <si>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</si>
  <si>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</si>
  <si>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</si>
  <si>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</si>
  <si>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</si>
  <si>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</si>
  <si>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</si>
  <si>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</si>
  <si>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</si>
  <si>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</si>
  <si>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</si>
  <si>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</si>
  <si>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</si>
  <si>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</si>
  <si>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</si>
  <si>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</si>
  <si>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</si>
  <si>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</si>
  <si>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</si>
  <si>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</si>
  <si>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</si>
  <si>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</si>
  <si>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</si>
  <si>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</si>
  <si>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</si>
  <si>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</si>
  <si>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</si>
  <si>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</si>
  <si>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</si>
  <si>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</si>
  <si>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</si>
  <si>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</si>
  <si>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</si>
  <si>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</si>
  <si>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</si>
  <si>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</si>
  <si>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</si>
  <si>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</si>
  <si>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</si>
  <si>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</si>
  <si>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</si>
  <si>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</si>
  <si>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</si>
  <si>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</si>
  <si>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</si>
  <si>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</si>
  <si>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</si>
  <si>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</si>
  <si>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</si>
  <si>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</si>
  <si>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</si>
  <si>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</si>
  <si>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</si>
  <si>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</si>
  <si>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</si>
  <si>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</si>
  <si>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</si>
  <si>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</si>
  <si>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</si>
  <si>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</si>
  <si>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</si>
  <si>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</si>
  <si>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</si>
  <si>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</si>
  <si>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</si>
  <si>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</si>
  <si>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</si>
  <si>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</si>
  <si>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</si>
  <si>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</si>
  <si>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</si>
  <si>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</si>
  <si>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</si>
  <si>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</si>
  <si>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</si>
  <si>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</si>
  <si>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</si>
  <si>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</si>
  <si>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</si>
  <si>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</si>
  <si>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</si>
  <si>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</si>
  <si>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</si>
  <si>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</si>
  <si>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</si>
  <si>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</si>
  <si>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</si>
  <si>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</si>
  <si>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</si>
  <si>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</si>
  <si>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</si>
  <si>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</si>
  <si>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</si>
  <si>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</si>
  <si>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</si>
  <si>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</si>
  <si>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</si>
  <si>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</si>
  <si>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</si>
  <si>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</si>
  <si>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</si>
  <si>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</si>
  <si>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</si>
  <si>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</si>
  <si>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</si>
  <si>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</si>
  <si>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</si>
  <si>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</si>
  <si>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</si>
  <si>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</si>
  <si>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</si>
  <si>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</si>
  <si>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</si>
  <si>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</si>
  <si>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</si>
  <si>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</si>
  <si>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</si>
  <si>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</si>
  <si>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</si>
  <si>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</si>
  <si>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</si>
  <si>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</si>
  <si>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</si>
  <si>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</si>
  <si>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</si>
  <si>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</si>
  <si>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</si>
  <si>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</si>
  <si>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</si>
  <si>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</si>
  <si>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</si>
  <si>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</si>
  <si>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</si>
  <si>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</si>
  <si>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</si>
  <si>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</si>
  <si>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</si>
  <si>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</si>
  <si>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</si>
  <si>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</si>
  <si>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</si>
  <si>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</si>
  <si>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</si>
  <si>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</si>
  <si>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</si>
  <si>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</si>
  <si>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</si>
  <si>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</si>
  <si>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</si>
  <si>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</si>
  <si>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</si>
  <si>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</si>
  <si>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</si>
  <si>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</si>
  <si>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</si>
  <si>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</si>
  <si>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</si>
  <si>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</si>
  <si>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</si>
  <si>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</si>
  <si>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</si>
  <si>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</si>
  <si>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</si>
  <si>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</si>
  <si>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</si>
  <si>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</si>
  <si>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</si>
  <si>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</si>
  <si>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</si>
  <si>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</si>
  <si>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</si>
  <si>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</si>
  <si>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</si>
  <si>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</si>
  <si>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</si>
  <si>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</si>
  <si>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</si>
  <si>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</si>
  <si>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</si>
  <si>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</si>
  <si>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</si>
  <si>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</si>
  <si>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</si>
  <si>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</si>
  <si>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</si>
  <si>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</si>
  <si>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</si>
  <si>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</si>
  <si>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</si>
  <si>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</si>
  <si>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</si>
  <si>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</si>
  <si>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</si>
  <si>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</si>
  <si>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</si>
  <si>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</si>
  <si>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</si>
  <si>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</si>
  <si>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</si>
  <si>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</si>
  <si>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</si>
  <si>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</si>
  <si>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</si>
  <si>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</si>
  <si>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</si>
  <si>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</si>
  <si>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</si>
  <si>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</si>
  <si>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</si>
  <si>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</si>
  <si>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</si>
  <si>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</si>
  <si>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</si>
  <si>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</si>
  <si>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</si>
  <si>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</si>
  <si>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</si>
  <si>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</si>
  <si>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</si>
  <si>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</si>
  <si>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</si>
  <si>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</si>
  <si>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</si>
  <si>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</si>
  <si>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</si>
  <si>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</si>
  <si>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</si>
  <si>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</si>
  <si>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</si>
  <si>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</si>
  <si>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</si>
  <si>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</si>
  <si>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</si>
  <si>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</si>
  <si>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</si>
  <si>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</si>
  <si>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</si>
  <si>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</si>
  <si>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</si>
  <si>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</si>
  <si>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</si>
  <si>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</si>
  <si>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</si>
  <si>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</si>
  <si>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</si>
  <si>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</si>
  <si>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</si>
  <si>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</si>
  <si>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</si>
  <si>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</si>
  <si>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</si>
  <si>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</si>
  <si>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</si>
  <si>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</si>
  <si>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</si>
  <si>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</si>
  <si>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</si>
  <si>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</si>
  <si>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</si>
  <si>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</si>
  <si>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</si>
  <si>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</si>
  <si>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</si>
  <si>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</si>
  <si>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</si>
  <si>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</si>
  <si>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</si>
  <si>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</si>
  <si>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</si>
  <si>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</si>
  <si>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</si>
  <si>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</si>
  <si>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</si>
  <si>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</si>
  <si>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</si>
  <si>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</si>
  <si>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</si>
  <si>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</si>
  <si>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</si>
  <si>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</si>
  <si>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</si>
  <si>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</si>
  <si>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</si>
  <si>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</si>
  <si>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</si>
  <si>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</si>
  <si>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</si>
  <si>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</si>
  <si>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</si>
  <si>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</si>
  <si>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</si>
  <si>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</si>
  <si>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</si>
  <si>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</si>
  <si>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</si>
  <si>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</si>
  <si>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</si>
  <si>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</si>
  <si>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</si>
  <si>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</si>
  <si>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</si>
  <si>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</si>
  <si>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</si>
  <si>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</si>
  <si>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</si>
  <si>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</si>
  <si>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</si>
  <si>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</si>
  <si>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</si>
  <si>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</si>
  <si>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</si>
  <si>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</si>
  <si>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</si>
  <si>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</si>
  <si>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</si>
  <si>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</si>
  <si>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</si>
  <si>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</si>
  <si>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</si>
  <si>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</si>
  <si>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</si>
  <si>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</si>
  <si>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</si>
  <si>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</si>
  <si>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</si>
  <si>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</si>
  <si>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</si>
  <si>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</si>
  <si>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</si>
  <si>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</si>
  <si>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</si>
  <si>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</si>
  <si>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</si>
  <si>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</si>
  <si>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</si>
  <si>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</si>
  <si>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</si>
  <si>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</si>
  <si>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</si>
  <si>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</si>
  <si>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</si>
  <si>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</si>
  <si>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</si>
  <si>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</si>
  <si>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</si>
  <si>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</si>
  <si>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</si>
  <si>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</si>
  <si>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</si>
  <si>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</si>
  <si>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</si>
  <si>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</si>
  <si>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</si>
  <si>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</si>
  <si>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</si>
  <si>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</si>
  <si>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</si>
  <si>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</si>
  <si>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</si>
  <si>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</si>
  <si>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</si>
  <si>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</si>
  <si>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</si>
  <si>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</si>
  <si>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</si>
  <si>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</si>
  <si>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</si>
  <si>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</si>
  <si>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</si>
  <si>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</si>
  <si>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</si>
  <si>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</si>
  <si>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</si>
  <si>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</si>
  <si>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</si>
  <si>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</si>
  <si>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</si>
  <si>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</si>
  <si>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</si>
  <si>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</si>
  <si>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</si>
  <si>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</si>
  <si>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</si>
  <si>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</si>
  <si>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</si>
  <si>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</si>
  <si>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</si>
  <si>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</si>
  <si>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</si>
  <si>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</si>
  <si>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</si>
  <si>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</si>
  <si>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</si>
  <si>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</si>
  <si>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</si>
  <si>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</si>
  <si>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</si>
  <si>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</si>
  <si>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</si>
  <si>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</si>
  <si>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</si>
  <si>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</si>
  <si>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</si>
  <si>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</si>
  <si>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</si>
  <si>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</si>
  <si>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</si>
  <si>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</si>
  <si>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</si>
  <si>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</si>
  <si>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</si>
  <si>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</si>
  <si>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</si>
  <si>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</si>
  <si>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</si>
  <si>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</si>
  <si>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</si>
  <si>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</si>
  <si>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</si>
  <si>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</si>
  <si>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</si>
  <si>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</si>
  <si>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</si>
  <si>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</si>
  <si>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</si>
  <si>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</si>
  <si>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</si>
  <si>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</si>
  <si>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</si>
  <si>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</si>
  <si>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</si>
  <si>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</si>
  <si>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</si>
  <si>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</si>
  <si>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</si>
  <si>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</si>
  <si>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</si>
  <si>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</si>
  <si>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</si>
  <si>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</si>
  <si>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</si>
  <si>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</si>
  <si>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</si>
  <si>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</si>
  <si>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</si>
  <si>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</si>
  <si>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</si>
  <si>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</si>
  <si>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</si>
  <si>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</si>
  <si>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</si>
  <si>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</si>
  <si>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</si>
  <si>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</si>
  <si>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</si>
  <si>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</si>
  <si>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</si>
  <si>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</si>
  <si>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</si>
  <si>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</si>
  <si>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</si>
  <si>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</si>
  <si>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</si>
  <si>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</si>
  <si>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</si>
  <si>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</si>
  <si>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</si>
  <si>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</si>
  <si>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</si>
  <si>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</si>
  <si>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</si>
  <si>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</si>
  <si>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</si>
  <si>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</si>
  <si>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</si>
  <si>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</si>
  <si>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</si>
  <si>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</si>
  <si>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</si>
  <si>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</si>
  <si>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</si>
  <si>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</si>
  <si>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</si>
  <si>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</si>
  <si>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</si>
  <si>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</si>
  <si>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</si>
  <si>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</si>
  <si>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</si>
  <si>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</si>
  <si>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</si>
  <si>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</si>
  <si>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</si>
  <si>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</si>
  <si>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</si>
  <si>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</si>
  <si>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</si>
  <si>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</si>
  <si>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</si>
  <si>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</si>
  <si>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</si>
  <si>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</si>
  <si>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</si>
  <si>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</si>
  <si>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</si>
  <si>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</si>
  <si>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</si>
  <si>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</si>
  <si>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</si>
  <si>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</si>
  <si>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</si>
  <si>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</si>
  <si>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</si>
  <si>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</si>
  <si>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</si>
  <si>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</si>
  <si>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</si>
  <si>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</si>
  <si>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</si>
  <si>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</si>
  <si>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</si>
  <si>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</si>
  <si>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</si>
  <si>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</si>
  <si>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</si>
  <si>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</si>
  <si>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</si>
  <si>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</si>
  <si>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</si>
  <si>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</si>
  <si>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</si>
  <si>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</si>
  <si>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</si>
  <si>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</si>
  <si>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</si>
  <si>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</si>
  <si>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</si>
  <si>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</si>
  <si>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</si>
  <si>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</si>
  <si>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</si>
  <si>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</si>
  <si>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</si>
  <si>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</si>
  <si>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</si>
  <si>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</si>
  <si>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</si>
  <si>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</si>
  <si>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</si>
  <si>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</si>
  <si>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</si>
  <si>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</si>
  <si>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</si>
  <si>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</si>
  <si>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</si>
  <si>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</si>
  <si>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</si>
  <si>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</si>
  <si>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</si>
  <si>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</si>
  <si>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</si>
  <si>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</si>
  <si>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</si>
  <si>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</si>
  <si>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</si>
  <si>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</si>
  <si>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</si>
  <si>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</si>
  <si>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</si>
  <si>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</si>
  <si>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</si>
  <si>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</si>
  <si>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</si>
  <si>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</si>
  <si>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</si>
  <si>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</si>
  <si>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</si>
  <si>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</si>
  <si>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</si>
  <si>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</si>
  <si>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</si>
  <si>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</si>
  <si>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</si>
  <si>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</si>
  <si>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</si>
  <si>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</si>
  <si>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</si>
  <si>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</si>
  <si>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</si>
  <si>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</si>
  <si>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</si>
  <si>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</si>
  <si>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</si>
  <si>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</si>
  <si>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</si>
  <si>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</si>
  <si>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</si>
  <si>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</si>
  <si>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</si>
  <si>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</si>
  <si>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</si>
  <si>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</si>
  <si>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</si>
  <si>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</si>
  <si>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</si>
  <si>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</si>
  <si>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</si>
  <si>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</si>
  <si>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</si>
  <si>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</si>
  <si>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</si>
  <si>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</si>
  <si>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</si>
  <si>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</si>
  <si>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</si>
  <si>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</si>
  <si>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</si>
  <si>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</si>
  <si>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</si>
  <si>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</si>
  <si>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</si>
  <si>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</si>
  <si>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</si>
  <si>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</si>
  <si>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</si>
  <si>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</si>
  <si>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</si>
  <si>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</si>
  <si>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</si>
  <si>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</si>
  <si>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</si>
  <si>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</si>
  <si>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</si>
  <si>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</si>
  <si>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</si>
  <si>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</si>
  <si>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</si>
  <si>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</si>
  <si>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</si>
  <si>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</si>
  <si>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</si>
  <si>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</si>
  <si>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</si>
  <si>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</si>
  <si>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</si>
  <si>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</si>
  <si>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</si>
  <si>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</si>
  <si>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</si>
  <si>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</si>
  <si>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</si>
  <si>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</si>
  <si>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</si>
  <si>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</si>
  <si>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</si>
  <si>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</si>
  <si>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</si>
  <si>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</si>
  <si>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</si>
  <si>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</si>
  <si>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</si>
  <si>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</si>
  <si>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</si>
  <si>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</si>
  <si>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</si>
  <si>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</si>
  <si>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</si>
  <si>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</si>
  <si>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</si>
  <si>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</si>
  <si>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</si>
  <si>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</si>
  <si>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</si>
  <si>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</si>
  <si>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</si>
  <si>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</si>
  <si>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</si>
  <si>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</si>
  <si>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</si>
  <si>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</si>
  <si>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</si>
  <si>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</si>
  <si>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</si>
  <si>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</si>
  <si>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</si>
  <si>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</si>
  <si>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</si>
  <si>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</si>
  <si>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</si>
  <si>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</si>
  <si>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</si>
  <si>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</si>
  <si>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</si>
  <si>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</si>
  <si>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</si>
  <si>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</si>
  <si>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</si>
  <si>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</si>
  <si>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</si>
  <si>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</si>
  <si>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</si>
  <si>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</si>
  <si>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</si>
  <si>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</si>
  <si>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</si>
  <si>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</si>
  <si>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</si>
  <si>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</si>
  <si>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</si>
  <si>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</si>
  <si>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</si>
  <si>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</si>
  <si>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</si>
  <si>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</si>
  <si>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</si>
  <si>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</si>
  <si>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</si>
  <si>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</si>
  <si>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</si>
  <si>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</si>
  <si>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</si>
  <si>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</si>
  <si>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</si>
  <si>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</si>
  <si>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</si>
  <si>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</si>
  <si>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</si>
  <si>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</si>
  <si>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</si>
  <si>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</si>
  <si>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</si>
  <si>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</si>
  <si>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</si>
  <si>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</si>
  <si>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</si>
  <si>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</si>
  <si>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</si>
  <si>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</si>
  <si>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</si>
  <si>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</si>
  <si>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</si>
  <si>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</si>
  <si>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</si>
  <si>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</si>
  <si>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</si>
  <si>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</si>
  <si>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</si>
  <si>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</si>
  <si>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</si>
  <si>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</si>
  <si>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</si>
  <si>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</si>
  <si>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</si>
  <si>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</si>
  <si>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</si>
  <si>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</si>
  <si>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</si>
  <si>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</si>
  <si>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</si>
  <si>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</si>
  <si>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</si>
  <si>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</si>
  <si>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</si>
  <si>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</si>
  <si>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</si>
  <si>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</si>
  <si>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</si>
  <si>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</si>
  <si>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</si>
  <si>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</si>
  <si>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</si>
  <si>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</si>
  <si>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</si>
  <si>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</si>
  <si>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</si>
  <si>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</si>
  <si>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</si>
  <si>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</si>
  <si>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</si>
  <si>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</si>
  <si>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</si>
  <si>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</si>
  <si>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</si>
  <si>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</si>
  <si>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</si>
  <si>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</si>
  <si>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</si>
  <si>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</si>
  <si>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</si>
  <si>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</si>
  <si>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</si>
  <si>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</si>
  <si>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</si>
  <si>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</si>
  <si>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</si>
  <si>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</si>
  <si>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</si>
  <si>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</si>
  <si>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</si>
  <si>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</si>
  <si>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</si>
  <si>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</si>
  <si>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</si>
  <si>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</si>
  <si>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</si>
  <si>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</si>
  <si>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</si>
  <si>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</si>
  <si>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</si>
  <si>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</si>
  <si>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</si>
  <si>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</si>
  <si>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</si>
  <si>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</si>
  <si>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</si>
  <si>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</si>
  <si>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</si>
  <si>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</si>
  <si>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</si>
  <si>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</si>
  <si>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</si>
  <si>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</si>
  <si>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</si>
  <si>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</si>
  <si>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</si>
  <si>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</si>
  <si>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</si>
  <si>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</si>
  <si>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</si>
  <si>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</si>
  <si>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</si>
  <si>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</si>
  <si>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</si>
  <si>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</si>
  <si>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</si>
  <si>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</si>
  <si>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</si>
  <si>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</si>
  <si>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</si>
  <si>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</si>
  <si>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</si>
  <si>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</si>
  <si>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</si>
  <si>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</si>
  <si>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</si>
  <si>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</si>
  <si>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</si>
  <si>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</si>
  <si>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</si>
  <si>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</si>
  <si>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</si>
  <si>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</si>
  <si>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</si>
  <si>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</si>
  <si>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</si>
  <si>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</si>
  <si>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</si>
  <si>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</si>
  <si>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</si>
  <si>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</si>
  <si>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</si>
  <si>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</si>
  <si>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</si>
  <si>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</si>
  <si>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</si>
  <si>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</si>
  <si>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</si>
  <si>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</si>
  <si>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</si>
  <si>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</si>
  <si>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</si>
  <si>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</si>
  <si>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</si>
  <si>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</si>
  <si>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</si>
  <si>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</si>
  <si>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</si>
  <si>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</si>
  <si>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</si>
  <si>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</si>
  <si>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</si>
  <si>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</si>
  <si>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</si>
  <si>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</si>
  <si>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</si>
  <si>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</si>
  <si>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</si>
  <si>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</si>
  <si>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</si>
  <si>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</si>
  <si>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</si>
  <si>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</si>
  <si>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</si>
  <si>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</si>
  <si>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</si>
  <si>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</si>
  <si>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</si>
  <si>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</si>
  <si>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</si>
  <si>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</si>
  <si>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</si>
  <si>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</si>
  <si>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</si>
  <si>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</si>
  <si>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</si>
  <si>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</si>
  <si>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</si>
  <si>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</si>
  <si>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</si>
  <si>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</si>
  <si>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</si>
  <si>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</si>
  <si>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</si>
  <si>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</si>
  <si>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</si>
  <si>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</si>
  <si>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</si>
  <si>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</si>
  <si>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</si>
  <si>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</si>
  <si>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</si>
  <si>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</si>
  <si>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</si>
  <si>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</si>
  <si>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</si>
  <si>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</si>
  <si>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</si>
  <si>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</si>
  <si>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</si>
  <si>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</si>
  <si>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</si>
  <si>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</si>
  <si>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</si>
  <si>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</si>
  <si>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</si>
  <si>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</si>
  <si>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</si>
  <si>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</si>
  <si>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</si>
  <si>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</si>
  <si>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</si>
  <si>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</si>
  <si>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</si>
  <si>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</si>
  <si>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</si>
  <si>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</si>
  <si>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</si>
  <si>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</si>
  <si>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</si>
  <si>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</si>
  <si>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</si>
  <si>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</si>
  <si>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</si>
  <si>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</si>
  <si>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</si>
  <si>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</si>
  <si>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</si>
  <si>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</si>
  <si>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</si>
  <si>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</si>
  <si>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</si>
  <si>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</si>
  <si>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</si>
  <si>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</si>
  <si>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</si>
  <si>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</si>
  <si>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</si>
  <si>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</si>
  <si>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</si>
  <si>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</si>
  <si>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</si>
  <si>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</si>
  <si>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</si>
  <si>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</si>
  <si>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</si>
  <si>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</si>
  <si>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</si>
  <si>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</si>
  <si>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</si>
  <si>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</si>
  <si>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</si>
  <si>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</si>
  <si>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</si>
  <si>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</si>
  <si>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</si>
  <si>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</si>
  <si>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</si>
  <si>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</si>
  <si>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</si>
  <si>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</si>
  <si>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</si>
  <si>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</si>
  <si>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</si>
  <si>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</si>
  <si>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</si>
  <si>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</si>
  <si>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</si>
  <si>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</si>
  <si>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</si>
  <si>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</si>
  <si>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</si>
  <si>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</si>
  <si>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</si>
  <si>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</si>
  <si>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</si>
  <si>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</si>
  <si>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</si>
  <si>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</si>
  <si>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</si>
  <si>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</si>
  <si>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</si>
  <si>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</si>
  <si>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</si>
  <si>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</si>
  <si>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</si>
  <si>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</si>
  <si>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</si>
  <si>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</si>
  <si>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</si>
  <si>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</si>
  <si>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</si>
  <si>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</si>
  <si>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</si>
  <si>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</si>
  <si>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</si>
  <si>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</si>
  <si>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</si>
  <si>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</si>
  <si>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</si>
  <si>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</si>
  <si>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</si>
  <si>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</si>
  <si>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</si>
  <si>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</si>
  <si>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</si>
  <si>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</si>
  <si>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</si>
  <si>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</si>
  <si>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</si>
  <si>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</si>
  <si>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</si>
  <si>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</si>
  <si>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</si>
  <si>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</si>
  <si>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</si>
  <si>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</si>
  <si>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</si>
  <si>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</si>
  <si>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</si>
  <si>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</si>
  <si>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</si>
  <si>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</si>
  <si>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</si>
  <si>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</si>
  <si>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</si>
  <si>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</si>
  <si>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</si>
  <si>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</si>
  <si>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</si>
  <si>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</si>
  <si>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</si>
  <si>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</si>
  <si>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</si>
  <si>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</si>
  <si>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</si>
  <si>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</si>
  <si>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</si>
  <si>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</si>
  <si>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</si>
  <si>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</si>
  <si>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</si>
  <si>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</si>
  <si>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</si>
  <si>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</si>
  <si>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</si>
  <si>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</si>
  <si>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</si>
  <si>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</si>
  <si>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</si>
  <si>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</si>
  <si>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</si>
  <si>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</si>
  <si>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</si>
  <si>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</si>
  <si>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</si>
  <si>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</si>
  <si>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</si>
  <si>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</si>
  <si>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</si>
  <si>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</si>
  <si>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</si>
  <si>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</si>
  <si>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</si>
  <si>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</si>
  <si>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</si>
  <si>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</si>
  <si>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</si>
  <si>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</si>
  <si>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</si>
  <si>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</si>
  <si>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</si>
  <si>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</si>
  <si>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</si>
  <si>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</si>
  <si>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</si>
  <si>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</si>
  <si>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</si>
  <si>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</si>
  <si>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</si>
  <si>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</si>
  <si>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</si>
  <si>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</si>
  <si>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</si>
  <si>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</si>
  <si>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</si>
  <si>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</si>
  <si>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</si>
  <si>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</si>
  <si>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</si>
  <si>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</si>
  <si>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</si>
  <si>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</si>
  <si>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</si>
  <si>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</si>
  <si>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</si>
  <si>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</si>
  <si>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</si>
  <si>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</si>
  <si>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</si>
  <si>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</si>
  <si>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</si>
  <si>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</si>
  <si>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</si>
  <si>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</si>
  <si>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</si>
  <si>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</si>
  <si>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</si>
  <si>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</si>
  <si>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</si>
  <si>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</si>
  <si>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</si>
  <si>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</si>
  <si>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</si>
  <si>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</si>
  <si>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</si>
  <si>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</si>
  <si>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</si>
  <si>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</si>
  <si>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</si>
  <si>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</si>
  <si>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</si>
  <si>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</si>
  <si>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</si>
  <si>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</si>
  <si>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</si>
  <si>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</si>
  <si>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</si>
  <si>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</si>
  <si>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</si>
  <si>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</si>
  <si>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</si>
  <si>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</si>
  <si>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</si>
  <si>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</si>
  <si>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</si>
  <si>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</si>
  <si>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</si>
  <si>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</si>
  <si>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</si>
  <si>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</si>
  <si>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</si>
  <si>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</si>
  <si>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</si>
  <si>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</si>
  <si>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</si>
  <si>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</si>
  <si>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</si>
  <si>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</si>
  <si>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</si>
  <si>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</si>
  <si>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</si>
  <si>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</si>
  <si>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</si>
  <si>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</si>
  <si>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</si>
  <si>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</si>
  <si>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</si>
  <si>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</si>
  <si>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</si>
  <si>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</si>
  <si>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</si>
  <si>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</si>
  <si>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</si>
  <si>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</si>
  <si>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</si>
  <si>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</si>
  <si>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</si>
  <si>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</si>
  <si>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</si>
  <si>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</si>
  <si>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</si>
  <si>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</si>
  <si>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</si>
  <si>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</si>
  <si>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</si>
  <si>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</si>
  <si>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</si>
  <si>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</si>
  <si>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</si>
  <si>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</si>
  <si>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</si>
  <si>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</si>
  <si>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</si>
  <si>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</si>
  <si>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</si>
  <si>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</si>
  <si>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</si>
  <si>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</si>
  <si>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</si>
  <si>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</si>
  <si>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</si>
  <si>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</si>
  <si>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</si>
  <si>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</si>
  <si>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</si>
  <si>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</si>
  <si>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</si>
  <si>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</si>
  <si>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</si>
  <si>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</si>
  <si>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</si>
  <si>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</si>
  <si>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</si>
  <si>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</si>
  <si>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</si>
  <si>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</si>
  <si>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</si>
  <si>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</si>
  <si>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</si>
  <si>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</si>
  <si>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</si>
  <si>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</si>
  <si>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</si>
  <si>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</si>
  <si>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</si>
  <si>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</si>
  <si>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</si>
  <si>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</si>
  <si>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</si>
  <si>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</si>
  <si>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</si>
  <si>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</si>
  <si>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</si>
  <si>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</si>
  <si>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</si>
  <si>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</si>
  <si>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</si>
  <si>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</si>
  <si>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</si>
  <si>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</si>
  <si>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</si>
  <si>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</si>
  <si>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</si>
  <si>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</si>
  <si>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</si>
  <si>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</si>
  <si>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</si>
  <si>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</si>
  <si>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</si>
  <si>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</si>
  <si>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</si>
  <si>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</si>
  <si>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</si>
  <si>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</si>
  <si>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</si>
  <si>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</si>
  <si>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</si>
  <si>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</si>
  <si>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</si>
  <si>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</si>
  <si>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</si>
  <si>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</si>
  <si>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</si>
  <si>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</si>
  <si>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</si>
  <si>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</si>
  <si>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</si>
  <si>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</si>
  <si>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</si>
  <si>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</si>
  <si>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</si>
  <si>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</si>
  <si>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</si>
  <si>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</si>
  <si>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</si>
  <si>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</si>
  <si>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</si>
  <si>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</si>
  <si>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</si>
  <si>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</si>
  <si>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</si>
  <si>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</si>
  <si>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</si>
  <si>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</si>
  <si>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</si>
  <si>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</si>
  <si>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</si>
  <si>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</si>
  <si>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</si>
  <si>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</si>
  <si>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</si>
  <si>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</si>
  <si>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</si>
  <si>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</si>
  <si>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</si>
  <si>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</si>
  <si>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</si>
  <si>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</si>
  <si>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</si>
  <si>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</si>
  <si>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</si>
  <si>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</si>
  <si>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</si>
  <si>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</si>
  <si>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</si>
  <si>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</si>
  <si>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</si>
  <si>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</si>
  <si>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</si>
  <si>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</si>
  <si>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</si>
  <si>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</si>
  <si>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</si>
  <si>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</si>
  <si>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</si>
  <si>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</si>
  <si>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</si>
  <si>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</si>
  <si>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</si>
  <si>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</si>
  <si>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</si>
  <si>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</si>
  <si>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</si>
  <si>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</si>
  <si>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</si>
  <si>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</si>
  <si>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</si>
  <si>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</si>
  <si>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</si>
  <si>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</si>
  <si>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</si>
  <si>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</si>
  <si>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</si>
  <si>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</si>
  <si>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</si>
  <si>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</si>
  <si>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</si>
  <si>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</si>
  <si>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</si>
  <si>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</si>
  <si>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</si>
  <si>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</si>
  <si>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</si>
  <si>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</si>
  <si>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</si>
  <si>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</si>
  <si>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</si>
  <si>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</si>
  <si>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</si>
  <si>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</si>
  <si>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</si>
  <si>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</si>
  <si>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</si>
  <si>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</si>
  <si>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</si>
  <si>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</si>
  <si>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</si>
  <si>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</si>
  <si>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</si>
  <si>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</si>
  <si>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</si>
  <si>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</si>
  <si>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</si>
  <si>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</si>
  <si>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</si>
  <si>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</si>
  <si>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</si>
  <si>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</si>
  <si>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</si>
  <si>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</si>
  <si>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</si>
  <si>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</si>
  <si>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</si>
  <si>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</si>
  <si>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</si>
  <si>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</si>
  <si>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</si>
  <si>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</si>
  <si>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</si>
  <si>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</si>
  <si>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</si>
  <si>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</si>
  <si>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</si>
  <si>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</si>
  <si>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</si>
  <si>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</si>
  <si>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</si>
  <si>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</si>
  <si>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</si>
  <si>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</si>
  <si>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</si>
  <si>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</si>
  <si>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</si>
  <si>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</si>
  <si>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</si>
  <si>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</si>
  <si>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</si>
  <si>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</si>
  <si>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</si>
  <si>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</si>
  <si>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</si>
  <si>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</si>
  <si>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</si>
  <si>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</si>
  <si>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</si>
  <si>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</si>
  <si>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</si>
  <si>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</si>
  <si>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</si>
  <si>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</si>
  <si>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</si>
  <si>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</si>
  <si>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</si>
  <si>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</si>
  <si>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</si>
  <si>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</si>
  <si>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</si>
  <si>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</si>
  <si>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</si>
  <si>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</si>
  <si>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</si>
  <si>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</si>
  <si>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</si>
  <si>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</si>
  <si>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</si>
  <si>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</si>
  <si>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</si>
  <si>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</si>
  <si>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</si>
  <si>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</si>
  <si>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</si>
  <si>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</si>
  <si>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</si>
  <si>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</si>
  <si>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</si>
  <si>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</si>
  <si>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</si>
  <si>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</si>
  <si>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</si>
  <si>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</si>
  <si>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</si>
  <si>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</si>
  <si>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</si>
  <si>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</si>
  <si>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</si>
  <si>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</si>
  <si>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</si>
  <si>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</si>
  <si>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</si>
  <si>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</si>
  <si>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</si>
  <si>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</si>
  <si>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</si>
  <si>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</si>
  <si>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</si>
  <si>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</si>
  <si>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</si>
  <si>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</si>
  <si>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</si>
  <si>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</si>
  <si>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</si>
  <si>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</si>
  <si>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</si>
  <si>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</si>
  <si>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</si>
  <si>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</si>
  <si>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</si>
  <si>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</si>
  <si>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</si>
  <si>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</si>
  <si>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</si>
  <si>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</si>
  <si>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</si>
  <si>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</si>
  <si>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</si>
  <si>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</si>
  <si>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</si>
  <si>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</si>
  <si>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</si>
  <si>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</si>
  <si>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</si>
  <si>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</si>
  <si>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</si>
  <si>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</si>
  <si>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</si>
  <si>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</si>
  <si>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</si>
  <si>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</si>
  <si>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</si>
  <si>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</si>
  <si>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</si>
  <si>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</si>
  <si>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</si>
  <si>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</si>
  <si>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</si>
  <si>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</si>
  <si>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</si>
  <si>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</si>
  <si>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Count of Employee Count</t>
  </si>
  <si>
    <t xml:space="preserve">Female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</si>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</sst>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1" fillId="0" borderId="0" xfId="0" applyFont="1"/>
    <xf numFmtId="0" fontId="3" fillId="0" borderId="0" xfId="0" applyFont="1"/>
    <xf numFmtId="1" fontId="0" fillId="0" borderId="0" xfId="0" applyNumberFormat="1"/>
    <xf numFmtId="10" fontId="0" fillId="0" borderId="0" xfId="1" applyNumberFormat="1" applyFont="1"/>
    <xf numFmtId="0" fontId="2" fillId="0" borderId="1" xfId="0" applyFont="1" applyBorder="1"/>
    <xf numFmtId="0" fontId="2" fillId="0" borderId="5" xfId="0" applyFont="1" applyBorder="1"/>
    <xf numFmtId="0" fontId="2" fillId="0" borderId="2" xfId="0" applyFont="1" applyBorder="1"/>
    <xf numFmtId="0" fontId="0" fillId="0" borderId="8" xfId="0" applyBorder="1"/>
    <xf numFmtId="164" fontId="0" fillId="0" borderId="9" xfId="0" applyNumberFormat="1" applyBorder="1"/>
    <xf numFmtId="164" fontId="0" fillId="0" borderId="0" xfId="0" applyNumberFormat="1"/>
    <xf numFmtId="0" fontId="0" fillId="0" borderId="1" xfId="0" pivotButton="1"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9" fontId="0" fillId="0" borderId="0" xfId="0" applyNumberFormat="1"/>
    <xf numFmtId="10" fontId="0" fillId="0" borderId="8" xfId="0" applyNumberFormat="1" applyBorder="1"/>
    <xf numFmtId="10" fontId="0" fillId="0" borderId="10" xfId="0" applyNumberFormat="1" applyBorder="1"/>
    <xf numFmtId="10" fontId="0" fillId="0" borderId="9" xfId="0" applyNumberFormat="1" applyBorder="1"/>
    <xf numFmtId="0" fontId="0" fillId="0" borderId="8" xfId="0" applyNumberFormat="1" applyBorder="1"/>
    <xf numFmtId="0" fontId="0" fillId="0" borderId="10" xfId="0" applyNumberFormat="1" applyBorder="1"/>
    <xf numFmtId="0" fontId="0" fillId="0" borderId="9" xfId="0" applyNumberFormat="1" applyBorder="1"/>
    <xf numFmtId="0" fontId="0" fillId="0" borderId="3" xfId="0" applyNumberFormat="1" applyBorder="1"/>
    <xf numFmtId="0" fontId="0" fillId="0" borderId="6" xfId="0" applyNumberFormat="1" applyBorder="1"/>
    <xf numFmtId="0" fontId="0" fillId="0" borderId="4" xfId="0" applyNumberFormat="1" applyBorder="1"/>
  </cellXfs>
  <cellStyles count="2">
    <cellStyle name="Normal" xfId="0" builtinId="0"/>
    <cellStyle name="Percent" xfId="1" builtinId="5"/>
  </cellStyles>
  <dxfs count="143">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numFmt numFmtId="164" formatCode="0.0"/>
    </dxf>
    <dxf>
      <font>
        <b/>
        <family val="2"/>
      </font>
    </dxf>
    <dxf>
      <font>
        <b/>
        <family val="2"/>
      </font>
    </dxf>
    <dxf>
      <fill>
        <patternFill>
          <fgColor auto="1"/>
        </patternFill>
      </fill>
    </dxf>
    <dxf>
      <fill>
        <gradientFill degree="90">
          <stop position="0">
            <color theme="9" tint="-0.25098422193060094"/>
          </stop>
          <stop position="1">
            <color theme="9" tint="-0.49803155613879818"/>
          </stop>
        </gradientFill>
      </fill>
    </dxf>
    <dxf>
      <fill>
        <patternFill>
          <fgColor theme="1"/>
        </patternFill>
      </fill>
    </dxf>
    <dxf>
      <fill>
        <patternFill>
          <fgColor rgb="FF339966"/>
        </patternFill>
      </fill>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1">
    <tableStyle name="Data-style" pivot="0" count="3" xr9:uid="{00000000-0011-0000-FFFF-FFFF00000000}">
      <tableStyleElement type="headerRow" dxfId="142"/>
      <tableStyleElement type="firstRowStripe" dxfId="141"/>
      <tableStyleElement type="secondRowStripe" dxfId="140"/>
    </tableStyle>
    <tableStyle name="Sclicer" pivot="0" table="0" count="4" xr9:uid="{5BEED2FD-EC04-46A1-B795-5BEE84A0EC70}">
      <tableStyleElement type="wholeTable" dxfId="139"/>
    </tableStyle>
    <tableStyle name="Slicer" pivot="0" table="0" count="0" xr9:uid="{F04034C9-736C-4CE6-9EA7-3D230E75A23E}"/>
    <tableStyle name="Slicer Style 1" pivot="0" table="0" count="1" xr9:uid="{94B47234-116D-4E9A-B46A-DFDB1A9CE5D0}">
      <tableStyleElement type="headerRow" dxfId="138"/>
    </tableStyle>
    <tableStyle name="Slicer Style 2" pivot="0" table="0" count="1" xr9:uid="{672C250F-BB91-4855-A55A-CF5E8EC1B191}"/>
    <tableStyle name="Slicer Style 3" pivot="0" table="0" count="0" xr9:uid="{2E24070D-5784-4E13-93E0-65091AED2726}"/>
    <tableStyle name="Slicer Style 4" pivot="0" table="0" count="1" xr9:uid="{94EDCC24-02E2-4F71-B5BF-EBD2102B0BD6}"/>
    <tableStyle name="Slicer Style 5" pivot="0" table="0" count="1" xr9:uid="{100430A0-133E-4F0F-AA2A-B344EC9C5DAC}">
      <tableStyleElement type="headerRow" dxfId="137"/>
    </tableStyle>
    <tableStyle name="Slicer Style 6" pivot="0" table="0" count="4" xr9:uid="{340FCCBC-AB6A-4B05-AD9F-FF9056C22F6F}">
      <tableStyleElement type="wholeTable" dxfId="136"/>
      <tableStyleElement type="headerRow" dxfId="135"/>
    </tableStyle>
    <tableStyle name="Slicer Style 7" pivot="0" table="0" count="1" xr9:uid="{A3FEDE91-D1A7-4821-9F3A-ACC9EE5A124A}"/>
    <tableStyle name="Slicer Style 8" pivot="0" table="0" count="1" xr9:uid="{0720B92A-658B-4EF7-9905-F1BF1E4BF480}"/>
  </tableStyles>
  <colors>
    <mruColors>
      <color rgb="FF255538"/>
      <color rgb="FF339966"/>
      <color rgb="FF602928"/>
      <color rgb="FFB230A9"/>
    </mruColors>
  </colors>
  <extLst>
    <ext xmlns:x14="http://schemas.microsoft.com/office/spreadsheetml/2009/9/main" uri="{46F421CA-312F-682f-3DD2-61675219B42D}">
      <x14:dxfs count="9">
        <dxf>
          <font>
            <color theme="9" tint="-0.499984740745262"/>
            <name val="Calibri"/>
            <family val="2"/>
            <scheme val="major"/>
          </font>
          <fill>
            <patternFill>
              <fgColor theme="9" tint="-0.499984740745262"/>
              <bgColor rgb="FF255538"/>
            </patternFill>
          </fill>
        </dxf>
        <dxf>
          <fill>
            <patternFill>
              <fgColor theme="1" tint="0.34998626667073579"/>
              <bgColor theme="1" tint="0.14996795556505021"/>
            </patternFill>
          </fill>
        </dxf>
        <dxf>
          <fill>
            <patternFill>
              <fgColor theme="0" tint="-0.14996795556505021"/>
            </patternFill>
          </fill>
        </dxf>
        <dxf>
          <fill>
            <patternFill>
              <fgColor theme="9" tint="-0.24994659260841701"/>
              <bgColor theme="9" tint="-0.499984740745262"/>
            </patternFill>
          </fill>
        </dxf>
        <dxf>
          <fill>
            <gradientFill degree="90">
              <stop position="0">
                <color theme="9" tint="-0.25098422193060094"/>
              </stop>
              <stop position="1">
                <color theme="9" tint="-0.49803155613879818"/>
              </stop>
            </gradientFill>
          </fill>
        </dxf>
        <dxf>
          <fill>
            <patternFill>
              <bgColor theme="1" tint="0.499984740745262"/>
            </patternFill>
          </fill>
        </dxf>
        <dxf>
          <fill>
            <gradientFill>
              <stop position="0">
                <color theme="1" tint="0.25098422193060094"/>
              </stop>
              <stop position="1">
                <color theme="0" tint="-0.34900967436750391"/>
              </stop>
            </gradientFill>
          </fill>
        </dxf>
        <dxf>
          <font>
            <b/>
            <i val="0"/>
            <color theme="0"/>
            <name val="Calibri"/>
            <family val="2"/>
            <scheme val="major"/>
          </font>
          <fill>
            <gradientFill>
              <stop position="0">
                <color theme="9" tint="-0.49803155613879818"/>
              </stop>
              <stop position="1">
                <color theme="9" tint="-0.25098422193060094"/>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clicer">
          <x14:slicerStyleElements>
            <x14:slicerStyleElement type="unselectedItemWithData" dxfId="8"/>
            <x14:slicerStyleElement type="selectedItemWithData" dxfId="7"/>
            <x14:slicerStyleElement type="selectedItemWithNoData" dxfId="6"/>
          </x14:slicerStyleElements>
        </x14:slicerStyle>
        <x14:slicerStyle name="Slicer"/>
        <x14:slicerStyle name="Slicer Style 1"/>
        <x14:slicerStyle name="Slicer Style 2">
          <x14:slicerStyleElements>
            <x14:slicerStyleElement type="selectedItemWithData" dxfId="5"/>
          </x14:slicerStyleElements>
        </x14:slicerStyle>
        <x14:slicerStyle name="Slicer Style 3"/>
        <x14:slicerStyle name="Slicer Style 4">
          <x14:slicerStyleElements>
            <x14:slicerStyleElement type="selectedItemWithData" dxfId="4"/>
          </x14:slicerStyleElements>
        </x14:slicerStyle>
        <x14:slicerStyle name="Slicer Style 5"/>
        <x14:slicerStyle name="Slicer Style 6">
          <x14:slicerStyleElements>
            <x14:slicerStyleElement type="selectedItemWithData" dxfId="3"/>
            <x14:slicerStyleElement type="selectedItemWithNoData" dxfId="2"/>
          </x14:slicerStyleElements>
        </x14:slicerStyle>
        <x14:slicerStyle name="Slicer Style 7">
          <x14:slicerStyleElements>
            <x14:slicerStyleElement type="selectedItemWithNo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49-4760-880D-76745968BE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49-4760-880D-76745968BED6}"/>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519E-4A3E-A1A3-AAD1127138F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7A3C-42FC-8F02-499BFDBAA76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7A3C-42FC-8F02-499BFDBAA760}"/>
            </c:ext>
          </c:extLst>
        </c:ser>
        <c:dLbls>
          <c:showLegendKey val="0"/>
          <c:showVal val="0"/>
          <c:showCatName val="0"/>
          <c:showSerName val="0"/>
          <c:showPercent val="0"/>
          <c:showBubbleSize val="0"/>
        </c:dLbls>
        <c:gapWidth val="0"/>
        <c:overlap val="100"/>
        <c:axId val="1462627119"/>
        <c:axId val="1462634799"/>
      </c:barChart>
      <c:catAx>
        <c:axId val="1462627119"/>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34799"/>
        <c:crosses val="autoZero"/>
        <c:auto val="1"/>
        <c:lblAlgn val="ctr"/>
        <c:lblOffset val="100"/>
        <c:noMultiLvlLbl val="0"/>
      </c:catAx>
      <c:valAx>
        <c:axId val="1462634799"/>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54-4475-9558-B07084F089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54-4475-9558-B07084F08987}"/>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82AD-44C4-AF99-C8842C4DE49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E94-45D1-9207-16153FAB609F}"/>
            </c:ext>
          </c:extLst>
        </c:ser>
        <c:dLbls>
          <c:dLblPos val="outEnd"/>
          <c:showLegendKey val="0"/>
          <c:showVal val="1"/>
          <c:showCatName val="0"/>
          <c:showSerName val="0"/>
          <c:showPercent val="0"/>
          <c:showBubbleSize val="0"/>
        </c:dLbls>
        <c:gapWidth val="182"/>
        <c:axId val="176561535"/>
        <c:axId val="176563455"/>
      </c:barChart>
      <c:catAx>
        <c:axId val="176561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3455"/>
        <c:crosses val="autoZero"/>
        <c:auto val="1"/>
        <c:lblAlgn val="ctr"/>
        <c:lblOffset val="100"/>
        <c:noMultiLvlLbl val="0"/>
      </c:catAx>
      <c:valAx>
        <c:axId val="1765634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A1-49FB-ABDA-8FC78FC251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A1-49FB-ABDA-8FC78FC251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A1-49FB-ABDA-8FC78FC25168}"/>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FE8-4AD6-9528-5BD3EF5545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535-49F4-8E6E-650F66F11931}"/>
            </c:ext>
          </c:extLst>
        </c:ser>
        <c:dLbls>
          <c:showLegendKey val="0"/>
          <c:showVal val="0"/>
          <c:showCatName val="0"/>
          <c:showSerName val="0"/>
          <c:showPercent val="0"/>
          <c:showBubbleSize val="0"/>
        </c:dLbls>
        <c:gapWidth val="219"/>
        <c:overlap val="-27"/>
        <c:axId val="1964228799"/>
        <c:axId val="1964231199"/>
      </c:barChart>
      <c:catAx>
        <c:axId val="196422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31199"/>
        <c:crosses val="autoZero"/>
        <c:auto val="1"/>
        <c:lblAlgn val="ctr"/>
        <c:lblOffset val="100"/>
        <c:noMultiLvlLbl val="0"/>
      </c:catAx>
      <c:valAx>
        <c:axId val="1964231199"/>
        <c:scaling>
          <c:orientation val="minMax"/>
        </c:scaling>
        <c:delete val="1"/>
        <c:axPos val="l"/>
        <c:numFmt formatCode="General" sourceLinked="1"/>
        <c:majorTickMark val="out"/>
        <c:minorTickMark val="none"/>
        <c:tickLblPos val="nextTo"/>
        <c:crossAx val="196422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5">
                <a:lumMod val="75000"/>
              </a:schemeClr>
            </a:solidFill>
            <a:ln>
              <a:noFill/>
            </a:ln>
          </c:spPr>
          <c:dPt>
            <c:idx val="0"/>
            <c:bubble3D val="0"/>
            <c:spPr>
              <a:gradFill>
                <a:gsLst>
                  <a:gs pos="0">
                    <a:schemeClr val="accent3">
                      <a:lumMod val="75000"/>
                    </a:schemeClr>
                  </a:gs>
                  <a:gs pos="0">
                    <a:schemeClr val="accent3">
                      <a:lumMod val="75000"/>
                    </a:schemeClr>
                  </a:gs>
                  <a:gs pos="900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F66C-46A0-ADD9-D27F6DC2BA5E}"/>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66C-46A0-ADD9-D27F6DC2BA5E}"/>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F66C-46A0-ADD9-D27F6DC2BA5E}"/>
            </c:ext>
          </c:extLst>
        </c:ser>
        <c:dLbls>
          <c:showLegendKey val="0"/>
          <c:showVal val="0"/>
          <c:showCatName val="0"/>
          <c:showSerName val="0"/>
          <c:showPercent val="0"/>
          <c:showBubbleSize val="0"/>
          <c:showLeaderLines val="1"/>
        </c:dLbls>
        <c:firstSliceAng val="0"/>
        <c:holeSize val="70"/>
      </c:doughnutChart>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2E0-44C9-9AC1-0A427FA9AA6D}"/>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2E0-44C9-9AC1-0A427FA9AA6D}"/>
            </c:ext>
          </c:extLst>
        </c:ser>
        <c:dLbls>
          <c:showLegendKey val="0"/>
          <c:showVal val="0"/>
          <c:showCatName val="0"/>
          <c:showSerName val="0"/>
          <c:showPercent val="0"/>
          <c:showBubbleSize val="0"/>
        </c:dLbls>
        <c:gapWidth val="0"/>
        <c:overlap val="100"/>
        <c:axId val="1462627119"/>
        <c:axId val="1462634799"/>
      </c:barChart>
      <c:catAx>
        <c:axId val="1462627119"/>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34799"/>
        <c:crosses val="autoZero"/>
        <c:auto val="1"/>
        <c:lblAlgn val="ctr"/>
        <c:lblOffset val="100"/>
        <c:noMultiLvlLbl val="0"/>
      </c:catAx>
      <c:valAx>
        <c:axId val="1462634799"/>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62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100000">
                    <a:schemeClr val="accent2">
                      <a:lumMod val="75000"/>
                    </a:schemeClr>
                  </a:gs>
                  <a:gs pos="55000">
                    <a:srgbClr val="B230A9"/>
                  </a:gs>
                </a:gsLst>
                <a:lin ang="5400000" scaled="1"/>
              </a:gradFill>
              <a:ln w="19050">
                <a:solidFill>
                  <a:schemeClr val="lt1"/>
                </a:solidFill>
              </a:ln>
              <a:effectLst/>
            </c:spPr>
            <c:extLst>
              <c:ext xmlns:c16="http://schemas.microsoft.com/office/drawing/2014/chart" uri="{C3380CC4-5D6E-409C-BE32-E72D297353CC}">
                <c16:uniqueId val="{00000001-CAE2-4A6E-9DC8-084A9B92A501}"/>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CAE2-4A6E-9DC8-084A9B92A50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CAE2-4A6E-9DC8-084A9B92A501}"/>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E029-49FD-99C0-93095ADC65F3}"/>
              </c:ext>
            </c:extLst>
          </c:dPt>
          <c:dPt>
            <c:idx val="1"/>
            <c:bubble3D val="0"/>
            <c:spPr>
              <a:gradFill>
                <a:gsLst>
                  <a:gs pos="85000">
                    <a:schemeClr val="accent5">
                      <a:lumMod val="75000"/>
                    </a:schemeClr>
                  </a:gs>
                  <a:gs pos="0">
                    <a:schemeClr val="accent5">
                      <a:lumMod val="50000"/>
                    </a:schemeClr>
                  </a:gs>
                </a:gsLst>
                <a:lin ang="5400000" scaled="1"/>
              </a:gradFill>
              <a:ln w="19050">
                <a:solidFill>
                  <a:schemeClr val="lt1"/>
                </a:solidFill>
              </a:ln>
              <a:effectLst/>
            </c:spPr>
            <c:extLst>
              <c:ext xmlns:c16="http://schemas.microsoft.com/office/drawing/2014/chart" uri="{C3380CC4-5D6E-409C-BE32-E72D297353CC}">
                <c16:uniqueId val="{00000003-E029-49FD-99C0-93095ADC65F3}"/>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E029-49FD-99C0-93095ADC65F3}"/>
            </c:ext>
          </c:extLst>
        </c:ser>
        <c:dLbls>
          <c:showLegendKey val="0"/>
          <c:showVal val="0"/>
          <c:showCatName val="0"/>
          <c:showSerName val="0"/>
          <c:showPercent val="0"/>
          <c:showBubbleSize val="0"/>
          <c:showLeaderLines val="1"/>
        </c:dLbls>
        <c:firstSliceAng val="0"/>
        <c:holeSize val="7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6000">
                <a:schemeClr val="accent6">
                  <a:lumMod val="50000"/>
                </a:schemeClr>
              </a:gs>
              <a:gs pos="90000">
                <a:schemeClr val="accent2">
                  <a:lumMod val="75000"/>
                </a:schemeClr>
              </a:gs>
            </a:gsLst>
            <a:lin ang="5400000" scaled="1"/>
          </a:gra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6000">
                <a:schemeClr val="accent6">
                  <a:lumMod val="50000"/>
                </a:schemeClr>
              </a:gs>
              <a:gs pos="90000">
                <a:schemeClr val="accent2">
                  <a:lumMod val="75000"/>
                </a:schemeClr>
              </a:gs>
            </a:gsLst>
            <a:lin ang="5400000" scaled="1"/>
          </a:gradFill>
          <a:ln>
            <a:solidFill>
              <a:schemeClr val="accent6">
                <a:lumMod val="75000"/>
              </a:schemeClr>
            </a:solidFill>
          </a:ln>
          <a:effectLst/>
        </c:spPr>
      </c:pivotFmt>
      <c:pivotFmt>
        <c:idx val="4"/>
        <c:spPr>
          <a:gradFill>
            <a:gsLst>
              <a:gs pos="26000">
                <a:schemeClr val="accent6">
                  <a:lumMod val="50000"/>
                </a:schemeClr>
              </a:gs>
              <a:gs pos="90000">
                <a:schemeClr val="accent2">
                  <a:lumMod val="75000"/>
                </a:schemeClr>
              </a:gs>
            </a:gsLst>
            <a:lin ang="5400000" scaled="1"/>
          </a:gradFill>
          <a:ln>
            <a:solidFill>
              <a:schemeClr val="accent6">
                <a:lumMod val="75000"/>
              </a:schemeClr>
            </a:solidFill>
          </a:ln>
          <a:effectLst/>
        </c:spPr>
      </c:pivotFmt>
    </c:pivotFmts>
    <c:plotArea>
      <c:layout>
        <c:manualLayout>
          <c:layoutTarget val="inner"/>
          <c:xMode val="edge"/>
          <c:yMode val="edge"/>
          <c:x val="0"/>
          <c:y val="0"/>
          <c:w val="1"/>
          <c:h val="1"/>
        </c:manualLayout>
      </c:layout>
      <c:barChart>
        <c:barDir val="bar"/>
        <c:grouping val="clustered"/>
        <c:varyColors val="0"/>
        <c:ser>
          <c:idx val="0"/>
          <c:order val="0"/>
          <c:tx>
            <c:strRef>
              <c:f>'Education by Attrition'!$B$3</c:f>
              <c:strCache>
                <c:ptCount val="1"/>
                <c:pt idx="0">
                  <c:v>Total</c:v>
                </c:pt>
              </c:strCache>
            </c:strRef>
          </c:tx>
          <c:spPr>
            <a:gradFill>
              <a:gsLst>
                <a:gs pos="26000">
                  <a:schemeClr val="accent6">
                    <a:lumMod val="50000"/>
                  </a:schemeClr>
                </a:gs>
                <a:gs pos="90000">
                  <a:schemeClr val="accent2">
                    <a:lumMod val="75000"/>
                  </a:schemeClr>
                </a:gs>
              </a:gsLst>
              <a:lin ang="5400000" scaled="1"/>
            </a:gradFill>
            <a:ln>
              <a:solidFill>
                <a:schemeClr val="accent6">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544-4ABA-93BC-E5BB13E876F1}"/>
            </c:ext>
          </c:extLst>
        </c:ser>
        <c:dLbls>
          <c:dLblPos val="outEnd"/>
          <c:showLegendKey val="0"/>
          <c:showVal val="1"/>
          <c:showCatName val="0"/>
          <c:showSerName val="0"/>
          <c:showPercent val="0"/>
          <c:showBubbleSize val="0"/>
        </c:dLbls>
        <c:gapWidth val="75"/>
        <c:axId val="176561535"/>
        <c:axId val="176563455"/>
      </c:barChart>
      <c:catAx>
        <c:axId val="1765615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6563455"/>
        <c:crosses val="autoZero"/>
        <c:auto val="1"/>
        <c:lblAlgn val="ctr"/>
        <c:lblOffset val="100"/>
        <c:noMultiLvlLbl val="0"/>
      </c:catAx>
      <c:valAx>
        <c:axId val="1765634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6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79000">
                <a:schemeClr val="accent1">
                  <a:lumMod val="60000"/>
                  <a:lumOff val="40000"/>
                </a:schemeClr>
              </a:gs>
              <a:gs pos="2000">
                <a:schemeClr val="accent1">
                  <a:lumMod val="50000"/>
                </a:schemeClr>
              </a:gs>
              <a:gs pos="94000">
                <a:schemeClr val="accent1">
                  <a:lumMod val="75000"/>
                </a:schemeClr>
              </a:gs>
            </a:gsLst>
            <a:lin ang="10800000" scaled="0"/>
          </a:gradFill>
          <a:ln w="9525">
            <a:noFill/>
          </a:ln>
          <a:effectLst/>
        </c:spPr>
      </c:pivotFmt>
      <c:pivotFmt>
        <c:idx val="7"/>
        <c:spPr>
          <a:gradFill>
            <a:gsLst>
              <a:gs pos="30000">
                <a:schemeClr val="accent5">
                  <a:lumMod val="75000"/>
                </a:schemeClr>
              </a:gs>
              <a:gs pos="66000">
                <a:schemeClr val="accent5">
                  <a:lumMod val="50000"/>
                </a:schemeClr>
              </a:gs>
            </a:gsLst>
            <a:lin ang="10800000" scaled="0"/>
          </a:gradFill>
          <a:ln w="19050">
            <a:noFill/>
          </a:ln>
          <a:effectLst/>
        </c:spPr>
      </c:pivotFmt>
      <c:pivotFmt>
        <c:idx val="8"/>
        <c:spPr>
          <a:gradFill>
            <a:gsLst>
              <a:gs pos="0">
                <a:schemeClr val="tx1">
                  <a:lumMod val="85000"/>
                  <a:lumOff val="15000"/>
                </a:schemeClr>
              </a:gs>
              <a:gs pos="86000">
                <a:schemeClr val="accent1">
                  <a:lumMod val="45000"/>
                  <a:lumOff val="55000"/>
                </a:schemeClr>
              </a:gs>
              <a:gs pos="32000">
                <a:schemeClr val="accent3">
                  <a:lumMod val="50000"/>
                </a:schemeClr>
              </a:gs>
            </a:gsLst>
            <a:lin ang="10800000" scaled="0"/>
          </a:gradFill>
          <a:ln w="19050">
            <a:noFill/>
          </a:ln>
          <a:effectLst/>
        </c:spPr>
      </c:pivotFmt>
    </c:pivotFmts>
    <c:plotArea>
      <c:layout/>
      <c:pieChart>
        <c:varyColors val="1"/>
        <c:ser>
          <c:idx val="0"/>
          <c:order val="0"/>
          <c:tx>
            <c:strRef>
              <c:f>'Dept wise Attrition'!$B$3</c:f>
              <c:strCache>
                <c:ptCount val="1"/>
                <c:pt idx="0">
                  <c:v>Total</c:v>
                </c:pt>
              </c:strCache>
            </c:strRef>
          </c:tx>
          <c:spPr>
            <a:ln>
              <a:noFill/>
            </a:ln>
          </c:spPr>
          <c:dPt>
            <c:idx val="0"/>
            <c:bubble3D val="0"/>
            <c:spPr>
              <a:gradFill>
                <a:gsLst>
                  <a:gs pos="79000">
                    <a:schemeClr val="accent1">
                      <a:lumMod val="60000"/>
                      <a:lumOff val="40000"/>
                    </a:schemeClr>
                  </a:gs>
                  <a:gs pos="2000">
                    <a:schemeClr val="accent1">
                      <a:lumMod val="50000"/>
                    </a:schemeClr>
                  </a:gs>
                  <a:gs pos="94000">
                    <a:schemeClr val="accent1">
                      <a:lumMod val="75000"/>
                    </a:schemeClr>
                  </a:gs>
                </a:gsLst>
                <a:lin ang="10800000" scaled="0"/>
              </a:gradFill>
              <a:ln w="9525">
                <a:noFill/>
              </a:ln>
              <a:effectLst/>
            </c:spPr>
            <c:extLst>
              <c:ext xmlns:c16="http://schemas.microsoft.com/office/drawing/2014/chart" uri="{C3380CC4-5D6E-409C-BE32-E72D297353CC}">
                <c16:uniqueId val="{00000001-B970-49A1-BBD7-18C15DD1334A}"/>
              </c:ext>
            </c:extLst>
          </c:dPt>
          <c:dPt>
            <c:idx val="1"/>
            <c:bubble3D val="0"/>
            <c:spPr>
              <a:gradFill>
                <a:gsLst>
                  <a:gs pos="30000">
                    <a:schemeClr val="accent5">
                      <a:lumMod val="75000"/>
                    </a:schemeClr>
                  </a:gs>
                  <a:gs pos="66000">
                    <a:schemeClr val="accent5">
                      <a:lumMod val="50000"/>
                    </a:schemeClr>
                  </a:gs>
                </a:gsLst>
                <a:lin ang="10800000" scaled="0"/>
              </a:gradFill>
              <a:ln w="19050">
                <a:noFill/>
              </a:ln>
              <a:effectLst/>
            </c:spPr>
            <c:extLst>
              <c:ext xmlns:c16="http://schemas.microsoft.com/office/drawing/2014/chart" uri="{C3380CC4-5D6E-409C-BE32-E72D297353CC}">
                <c16:uniqueId val="{00000003-B970-49A1-BBD7-18C15DD1334A}"/>
              </c:ext>
            </c:extLst>
          </c:dPt>
          <c:dPt>
            <c:idx val="2"/>
            <c:bubble3D val="0"/>
            <c:spPr>
              <a:gradFill>
                <a:gsLst>
                  <a:gs pos="0">
                    <a:schemeClr val="tx1">
                      <a:lumMod val="85000"/>
                      <a:lumOff val="15000"/>
                    </a:schemeClr>
                  </a:gs>
                  <a:gs pos="86000">
                    <a:schemeClr val="accent1">
                      <a:lumMod val="45000"/>
                      <a:lumOff val="55000"/>
                    </a:schemeClr>
                  </a:gs>
                  <a:gs pos="32000">
                    <a:schemeClr val="accent3">
                      <a:lumMod val="50000"/>
                    </a:schemeClr>
                  </a:gs>
                </a:gsLst>
                <a:lin ang="10800000" scaled="0"/>
              </a:gradFill>
              <a:ln w="19050">
                <a:noFill/>
              </a:ln>
              <a:effectLst/>
            </c:spPr>
            <c:extLst>
              <c:ext xmlns:c16="http://schemas.microsoft.com/office/drawing/2014/chart" uri="{C3380CC4-5D6E-409C-BE32-E72D297353CC}">
                <c16:uniqueId val="{00000005-B970-49A1-BBD7-18C15DD1334A}"/>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970-49A1-BBD7-18C15DD133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group!Attrition by Age Group</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88000">
                <a:schemeClr val="accent2">
                  <a:lumMod val="50000"/>
                </a:schemeClr>
              </a:gs>
              <a:gs pos="14000">
                <a:schemeClr val="accent2"/>
              </a:gs>
            </a:gsLst>
            <a:lin ang="0" scaled="0"/>
          </a:gradFill>
          <a:ln>
            <a:gradFill>
              <a:gsLst>
                <a:gs pos="0">
                  <a:schemeClr val="accent2">
                    <a:lumMod val="75000"/>
                  </a:schemeClr>
                </a:gs>
                <a:gs pos="73000">
                  <a:schemeClr val="accent1">
                    <a:lumMod val="45000"/>
                    <a:lumOff val="55000"/>
                  </a:schemeClr>
                </a:gs>
                <a:gs pos="33000">
                  <a:schemeClr val="accent2">
                    <a:lumMod val="75000"/>
                  </a:schemeClr>
                </a:gs>
                <a:gs pos="100000">
                  <a:schemeClr val="accent1">
                    <a:lumMod val="30000"/>
                    <a:lumOff val="70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88000">
                  <a:schemeClr val="accent2">
                    <a:lumMod val="50000"/>
                  </a:schemeClr>
                </a:gs>
                <a:gs pos="14000">
                  <a:schemeClr val="accent2"/>
                </a:gs>
              </a:gsLst>
              <a:lin ang="0" scaled="0"/>
            </a:gradFill>
            <a:ln>
              <a:gradFill>
                <a:gsLst>
                  <a:gs pos="0">
                    <a:schemeClr val="accent2">
                      <a:lumMod val="75000"/>
                    </a:schemeClr>
                  </a:gs>
                  <a:gs pos="73000">
                    <a:schemeClr val="accent1">
                      <a:lumMod val="45000"/>
                      <a:lumOff val="55000"/>
                    </a:schemeClr>
                  </a:gs>
                  <a:gs pos="33000">
                    <a:schemeClr val="accent2">
                      <a:lumMod val="75000"/>
                    </a:schemeClr>
                  </a:gs>
                  <a:gs pos="100000">
                    <a:schemeClr val="accent1">
                      <a:lumMod val="30000"/>
                      <a:lumOff val="70000"/>
                    </a:schemeClr>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314-4B57-A71B-67D3FF98D417}"/>
            </c:ext>
          </c:extLst>
        </c:ser>
        <c:dLbls>
          <c:dLblPos val="outEnd"/>
          <c:showLegendKey val="0"/>
          <c:showVal val="1"/>
          <c:showCatName val="0"/>
          <c:showSerName val="0"/>
          <c:showPercent val="0"/>
          <c:showBubbleSize val="0"/>
        </c:dLbls>
        <c:gapWidth val="107"/>
        <c:overlap val="-27"/>
        <c:axId val="1964228799"/>
        <c:axId val="1964231199"/>
      </c:barChart>
      <c:catAx>
        <c:axId val="196422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964231199"/>
        <c:crosses val="autoZero"/>
        <c:auto val="1"/>
        <c:lblAlgn val="ctr"/>
        <c:lblOffset val="100"/>
        <c:noMultiLvlLbl val="0"/>
      </c:catAx>
      <c:valAx>
        <c:axId val="1964231199"/>
        <c:scaling>
          <c:orientation val="minMax"/>
        </c:scaling>
        <c:delete val="1"/>
        <c:axPos val="l"/>
        <c:numFmt formatCode="General" sourceLinked="1"/>
        <c:majorTickMark val="out"/>
        <c:minorTickMark val="none"/>
        <c:tickLblPos val="nextTo"/>
        <c:crossAx val="196422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FC2269CA-6F4B-4201-BCFB-CE37BEF6E1B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3651D965-C6EA-4D35-93D7-55FB4CF12C40}">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FC2269CA-6F4B-4201-BCFB-CE37BEF6E1BF}">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3651D965-C6EA-4D35-93D7-55FB4CF12C40}">
          <cx:spPr>
            <a:gradFill>
              <a:gsLst>
                <a:gs pos="100000">
                  <a:schemeClr val="accent6">
                    <a:lumMod val="75000"/>
                  </a:schemeClr>
                </a:gs>
                <a:gs pos="100000">
                  <a:schemeClr val="accent1">
                    <a:lumMod val="45000"/>
                    <a:lumOff val="55000"/>
                  </a:schemeClr>
                </a:gs>
                <a:gs pos="0">
                  <a:schemeClr val="accent2">
                    <a:lumMod val="75000"/>
                  </a:schemeClr>
                </a:gs>
                <a:gs pos="100000">
                  <a:schemeClr val="accent1">
                    <a:lumMod val="30000"/>
                    <a:lumOff val="70000"/>
                  </a:schemeClr>
                </a:gs>
              </a:gsLst>
              <a:lin ang="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0.pn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7</xdr:col>
      <xdr:colOff>441960</xdr:colOff>
      <xdr:row>3</xdr:row>
      <xdr:rowOff>182881</xdr:rowOff>
    </xdr:from>
    <xdr:to>
      <xdr:col>10</xdr:col>
      <xdr:colOff>259080</xdr:colOff>
      <xdr:row>9</xdr:row>
      <xdr:rowOff>45721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86760C4E-0D56-83C3-A70D-228453AE00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49640" y="777241"/>
              <a:ext cx="1828800" cy="1051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182880</xdr:colOff>
      <xdr:row>1</xdr:row>
      <xdr:rowOff>68580</xdr:rowOff>
    </xdr:from>
    <xdr:to>
      <xdr:col>5</xdr:col>
      <xdr:colOff>662940</xdr:colOff>
      <xdr:row>7</xdr:row>
      <xdr:rowOff>68580</xdr:rowOff>
    </xdr:to>
    <xdr:graphicFrame macro="">
      <xdr:nvGraphicFramePr>
        <xdr:cNvPr id="2" name="Chart 1">
          <a:extLst>
            <a:ext uri="{FF2B5EF4-FFF2-40B4-BE49-F238E27FC236}">
              <a16:creationId xmlns:a16="http://schemas.microsoft.com/office/drawing/2014/main" id="{3F709FA8-8287-A19C-0150-B3AC122AB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274320</xdr:colOff>
      <xdr:row>1</xdr:row>
      <xdr:rowOff>83821</xdr:rowOff>
    </xdr:from>
    <xdr:to>
      <xdr:col>9</xdr:col>
      <xdr:colOff>91440</xdr:colOff>
      <xdr:row>7</xdr:row>
      <xdr:rowOff>68581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F558D846-0AA3-4C99-ACDC-D66883C3697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448300" y="281941"/>
              <a:ext cx="18288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1531620</xdr:colOff>
      <xdr:row>14</xdr:row>
      <xdr:rowOff>30480</xdr:rowOff>
    </xdr:from>
    <xdr:to>
      <xdr:col>6</xdr:col>
      <xdr:colOff>259080</xdr:colOff>
      <xdr:row>20</xdr:row>
      <xdr:rowOff>137160</xdr:rowOff>
    </xdr:to>
    <xdr:graphicFrame macro="">
      <xdr:nvGraphicFramePr>
        <xdr:cNvPr id="4" name="Chart 3">
          <a:extLst>
            <a:ext uri="{FF2B5EF4-FFF2-40B4-BE49-F238E27FC236}">
              <a16:creationId xmlns:a16="http://schemas.microsoft.com/office/drawing/2014/main" id="{8AF7E9B6-3516-20B7-663A-F88DB5097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327660</xdr:colOff>
      <xdr:row>9</xdr:row>
      <xdr:rowOff>53341</xdr:rowOff>
    </xdr:from>
    <xdr:to>
      <xdr:col>9</xdr:col>
      <xdr:colOff>144780</xdr:colOff>
      <xdr:row>21</xdr:row>
      <xdr:rowOff>53341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5093BF3C-9DFB-1D55-3AE4-B0A6B81DF948}"/>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501640" y="1836421"/>
              <a:ext cx="182880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533400</xdr:colOff>
      <xdr:row>5</xdr:row>
      <xdr:rowOff>152400</xdr:rowOff>
    </xdr:from>
    <xdr:to>
      <xdr:col>7</xdr:col>
      <xdr:colOff>350520</xdr:colOff>
      <xdr:row>19</xdr:row>
      <xdr:rowOff>74295</xdr:rowOff>
    </xdr:to>
    <mc:AlternateContent xmlns:mc="http://schemas.openxmlformats.org/markup-compatibility/2006" xmlns:a14="http://schemas.microsoft.com/office/drawing/2010/main">
      <mc:Choice Requires="a14">
        <xdr:graphicFrame macro="">
          <xdr:nvGraphicFramePr>
            <xdr:cNvPr id="2" name="Education Field 2">
              <a:extLst>
                <a:ext uri="{FF2B5EF4-FFF2-40B4-BE49-F238E27FC236}">
                  <a16:creationId xmlns:a16="http://schemas.microsoft.com/office/drawing/2014/main" id="{C2FFE05B-49AE-3DBE-E519-65C2B16AFDD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541520" y="11430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472440</xdr:colOff>
      <xdr:row>6</xdr:row>
      <xdr:rowOff>38101</xdr:rowOff>
    </xdr:from>
    <xdr:to>
      <xdr:col>10</xdr:col>
      <xdr:colOff>289560</xdr:colOff>
      <xdr:row>12</xdr:row>
      <xdr:rowOff>190501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8A4B4F72-041B-F7BD-58D9-ACE8928FD4D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492240" y="122682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186690</xdr:colOff>
      <xdr:row>12</xdr:row>
      <xdr:rowOff>3810</xdr:rowOff>
    </xdr:from>
    <xdr:to>
      <xdr:col>2</xdr:col>
      <xdr:colOff>167640</xdr:colOff>
      <xdr:row>22</xdr:row>
      <xdr:rowOff>91440</xdr:rowOff>
    </xdr:to>
    <xdr:graphicFrame macro="">
      <xdr:nvGraphicFramePr>
        <xdr:cNvPr id="4" name="Chart 3">
          <a:extLst>
            <a:ext uri="{FF2B5EF4-FFF2-40B4-BE49-F238E27FC236}">
              <a16:creationId xmlns:a16="http://schemas.microsoft.com/office/drawing/2014/main" id="{C920FCAD-0767-F883-8440-5A29B29D3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121920</xdr:colOff>
      <xdr:row>5</xdr:row>
      <xdr:rowOff>30480</xdr:rowOff>
    </xdr:from>
    <xdr:to>
      <xdr:col>9</xdr:col>
      <xdr:colOff>0</xdr:colOff>
      <xdr:row>19</xdr:row>
      <xdr:rowOff>0</xdr:rowOff>
    </xdr:to>
    <xdr:graphicFrame macro="">
      <xdr:nvGraphicFramePr>
        <xdr:cNvPr id="4" name="Chart 3">
          <a:extLst>
            <a:ext uri="{FF2B5EF4-FFF2-40B4-BE49-F238E27FC236}">
              <a16:creationId xmlns:a16="http://schemas.microsoft.com/office/drawing/2014/main" id="{235413A8-9C6D-31D9-5204-D71AF08DE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121920</xdr:colOff>
      <xdr:row>2</xdr:row>
      <xdr:rowOff>15240</xdr:rowOff>
    </xdr:from>
    <xdr:to>
      <xdr:col>12</xdr:col>
      <xdr:colOff>0</xdr:colOff>
      <xdr:row>15</xdr:row>
      <xdr:rowOff>182880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D831763-4DF0-F9CB-1409-A68B8EAD51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51320" y="41148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251460</xdr:colOff>
      <xdr:row>4</xdr:row>
      <xdr:rowOff>0</xdr:rowOff>
    </xdr:from>
    <xdr:to>
      <xdr:col>9</xdr:col>
      <xdr:colOff>0</xdr:colOff>
      <xdr:row>17</xdr:row>
      <xdr:rowOff>167640</xdr:rowOff>
    </xdr:to>
    <xdr:graphicFrame macro="">
      <xdr:nvGraphicFramePr>
        <xdr:cNvPr id="2" name="Chart 1">
          <a:extLst>
            <a:ext uri="{FF2B5EF4-FFF2-40B4-BE49-F238E27FC236}">
              <a16:creationId xmlns:a16="http://schemas.microsoft.com/office/drawing/2014/main" id="{39E0778F-694A-15FA-715C-15AD5CA0A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8</xdr:row>
      <xdr:rowOff>3810</xdr:rowOff>
    </xdr:from>
    <xdr:to>
      <xdr:col>9</xdr:col>
      <xdr:colOff>0</xdr:colOff>
      <xdr:row>21</xdr:row>
      <xdr:rowOff>0</xdr:rowOff>
    </xdr:to>
    <xdr:graphicFrame macro="">
      <xdr:nvGraphicFramePr>
        <xdr:cNvPr id="2" name="Chart 1">
          <a:extLst>
            <a:ext uri="{FF2B5EF4-FFF2-40B4-BE49-F238E27FC236}">
              <a16:creationId xmlns:a16="http://schemas.microsoft.com/office/drawing/2014/main" id="{0D1B8210-D600-45CD-1CEF-D5F04410F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152400</xdr:colOff>
      <xdr:row>4</xdr:row>
      <xdr:rowOff>177165</xdr:rowOff>
    </xdr:from>
    <xdr:to>
      <xdr:col>11</xdr:col>
      <xdr:colOff>640080</xdr:colOff>
      <xdr:row>18</xdr:row>
      <xdr:rowOff>99060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A9A7C10C-232B-B8CB-A258-9971830249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513320" y="96964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xdr:row>
      <xdr:rowOff>177165</xdr:rowOff>
    </xdr:from>
    <xdr:to>
      <xdr:col>14</xdr:col>
      <xdr:colOff>487680</xdr:colOff>
      <xdr:row>18</xdr:row>
      <xdr:rowOff>99060</xdr:rowOff>
    </xdr:to>
    <mc:AlternateContent xmlns:mc="http://schemas.openxmlformats.org/markup-compatibility/2006" xmlns:a14="http://schemas.microsoft.com/office/drawing/2010/main">
      <mc:Choice Requires="a14">
        <xdr:graphicFrame macro="">
          <xdr:nvGraphicFramePr>
            <xdr:cNvPr id="4" name="Education Field 3">
              <a:extLst>
                <a:ext uri="{FF2B5EF4-FFF2-40B4-BE49-F238E27FC236}">
                  <a16:creationId xmlns:a16="http://schemas.microsoft.com/office/drawing/2014/main" id="{29AB3FC1-1122-119F-0A77-C18DC881BDC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372600" y="969645"/>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140970</xdr:colOff>
      <xdr:row>8</xdr:row>
      <xdr:rowOff>3810</xdr:rowOff>
    </xdr:from>
    <xdr:to>
      <xdr:col>12</xdr:col>
      <xdr:colOff>19050</xdr:colOff>
      <xdr:row>21</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D650144-9094-AAE9-9A49-31B37F96DA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588770"/>
              <a:ext cx="4572000"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2</xdr:col>
      <xdr:colOff>300990</xdr:colOff>
      <xdr:row>1</xdr:row>
      <xdr:rowOff>118110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604411" y="30861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2</xdr:col>
      <xdr:colOff>502417</xdr:colOff>
      <xdr:row>2</xdr:row>
      <xdr:rowOff>66989</xdr:rowOff>
    </xdr:from>
    <xdr:ext cx="720131" cy="628022"/>
    <xdr:pic>
      <xdr:nvPicPr>
        <xdr:cNvPr id="3" name="image1.png">
          <a:extLst>
            <a:ext uri="{FF2B5EF4-FFF2-40B4-BE49-F238E27FC236}">
              <a16:creationId xmlns:a16="http://schemas.microsoft.com/office/drawing/2014/main" id="{126C9C2F-137F-4825-B945-D377A62BFA80}"/>
            </a:ext>
          </a:extLst>
        </xdr:cNvPr>
        <xdr:cNvPicPr preferRelativeResize="0"/>
      </xdr:nvPicPr>
      <xdr:blipFill>
        <a:blip xmlns:r="http://schemas.openxmlformats.org/officeDocument/2006/relationships" r:embed="rId1" cstate="print"/>
        <a:stretch>
          <a:fillRect/>
        </a:stretch>
      </xdr:blipFill>
      <xdr:spPr>
        <a:xfrm>
          <a:off x="1808703" y="452176"/>
          <a:ext cx="720131" cy="628022"/>
        </a:xfrm>
        <a:prstGeom prst="rect">
          <a:avLst/>
        </a:prstGeom>
        <a:noFill/>
      </xdr:spPr>
    </xdr:pic>
    <xdr:clientData fLocksWithSheet="0"/>
  </xdr:oneCellAnchor>
  <xdr:twoCellAnchor>
    <xdr:from>
      <xdr:col>3</xdr:col>
      <xdr:colOff>552659</xdr:colOff>
      <xdr:row>1</xdr:row>
      <xdr:rowOff>184221</xdr:rowOff>
    </xdr:from>
    <xdr:to>
      <xdr:col>15</xdr:col>
      <xdr:colOff>142352</xdr:colOff>
      <xdr:row>5</xdr:row>
      <xdr:rowOff>108857</xdr:rowOff>
    </xdr:to>
    <xdr:sp macro="" textlink="">
      <xdr:nvSpPr>
        <xdr:cNvPr id="5" name="TextBox 4">
          <a:extLst>
            <a:ext uri="{FF2B5EF4-FFF2-40B4-BE49-F238E27FC236}">
              <a16:creationId xmlns:a16="http://schemas.microsoft.com/office/drawing/2014/main" id="{B475FC63-F064-2F28-5A42-10D2AD85D6C4}"/>
            </a:ext>
          </a:extLst>
        </xdr:cNvPr>
        <xdr:cNvSpPr txBox="1"/>
      </xdr:nvSpPr>
      <xdr:spPr>
        <a:xfrm>
          <a:off x="2512088" y="376814"/>
          <a:ext cx="7427407" cy="695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accent1">
                  <a:lumMod val="75000"/>
                </a:schemeClr>
              </a:solidFill>
            </a:rPr>
            <a:t>HR ANALYTICS</a:t>
          </a:r>
          <a:r>
            <a:rPr lang="en-US" sz="4400" b="1" baseline="0">
              <a:solidFill>
                <a:schemeClr val="accent1">
                  <a:lumMod val="75000"/>
                </a:schemeClr>
              </a:solidFill>
            </a:rPr>
            <a:t> DASHBOARD</a:t>
          </a:r>
          <a:endParaRPr lang="en-US" sz="4400" b="1">
            <a:solidFill>
              <a:schemeClr val="accent1">
                <a:lumMod val="75000"/>
              </a:schemeClr>
            </a:solidFill>
          </a:endParaRPr>
        </a:p>
      </xdr:txBody>
    </xdr:sp>
    <xdr:clientData/>
  </xdr:twoCellAnchor>
  <xdr:oneCellAnchor>
    <xdr:from>
      <xdr:col>15</xdr:col>
      <xdr:colOff>514349</xdr:colOff>
      <xdr:row>2</xdr:row>
      <xdr:rowOff>59410</xdr:rowOff>
    </xdr:from>
    <xdr:ext cx="766815" cy="652347"/>
    <xdr:pic>
      <xdr:nvPicPr>
        <xdr:cNvPr id="6" name="image3.png">
          <a:extLst>
            <a:ext uri="{FF2B5EF4-FFF2-40B4-BE49-F238E27FC236}">
              <a16:creationId xmlns:a16="http://schemas.microsoft.com/office/drawing/2014/main" id="{45D4761A-F33C-4637-9708-9C2312A0A146}"/>
            </a:ext>
          </a:extLst>
        </xdr:cNvPr>
        <xdr:cNvPicPr preferRelativeResize="0"/>
      </xdr:nvPicPr>
      <xdr:blipFill>
        <a:blip xmlns:r="http://schemas.openxmlformats.org/officeDocument/2006/relationships" r:embed="rId2" cstate="print"/>
        <a:stretch>
          <a:fillRect/>
        </a:stretch>
      </xdr:blipFill>
      <xdr:spPr>
        <a:xfrm>
          <a:off x="10311492" y="444597"/>
          <a:ext cx="766815" cy="652347"/>
        </a:xfrm>
        <a:prstGeom prst="rect">
          <a:avLst/>
        </a:prstGeom>
        <a:noFill/>
      </xdr:spPr>
    </xdr:pic>
    <xdr:clientData fLocksWithSheet="0"/>
  </xdr:oneCellAnchor>
  <xdr:twoCellAnchor>
    <xdr:from>
      <xdr:col>2</xdr:col>
      <xdr:colOff>564820</xdr:colOff>
      <xdr:row>6</xdr:row>
      <xdr:rowOff>163361</xdr:rowOff>
    </xdr:from>
    <xdr:to>
      <xdr:col>5</xdr:col>
      <xdr:colOff>449580</xdr:colOff>
      <xdr:row>8</xdr:row>
      <xdr:rowOff>129540</xdr:rowOff>
    </xdr:to>
    <xdr:sp macro="" textlink="">
      <xdr:nvSpPr>
        <xdr:cNvPr id="7" name="TextBox 6">
          <a:extLst>
            <a:ext uri="{FF2B5EF4-FFF2-40B4-BE49-F238E27FC236}">
              <a16:creationId xmlns:a16="http://schemas.microsoft.com/office/drawing/2014/main" id="{479F1834-AEDC-C613-BB15-8AE190D35888}"/>
            </a:ext>
          </a:extLst>
        </xdr:cNvPr>
        <xdr:cNvSpPr txBox="1"/>
      </xdr:nvSpPr>
      <xdr:spPr>
        <a:xfrm>
          <a:off x="1875460" y="1306361"/>
          <a:ext cx="1850720" cy="34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602928"/>
              </a:solidFill>
            </a:rPr>
            <a:t>Total Employees</a:t>
          </a:r>
        </a:p>
      </xdr:txBody>
    </xdr:sp>
    <xdr:clientData/>
  </xdr:twoCellAnchor>
  <xdr:oneCellAnchor>
    <xdr:from>
      <xdr:col>5</xdr:col>
      <xdr:colOff>598170</xdr:colOff>
      <xdr:row>6</xdr:row>
      <xdr:rowOff>171450</xdr:rowOff>
    </xdr:from>
    <xdr:ext cx="373171" cy="314325"/>
    <xdr:pic>
      <xdr:nvPicPr>
        <xdr:cNvPr id="8" name="image4.png">
          <a:extLst>
            <a:ext uri="{FF2B5EF4-FFF2-40B4-BE49-F238E27FC236}">
              <a16:creationId xmlns:a16="http://schemas.microsoft.com/office/drawing/2014/main" id="{FD61D84D-C632-48AB-9467-59409A383E24}"/>
            </a:ext>
          </a:extLst>
        </xdr:cNvPr>
        <xdr:cNvPicPr preferRelativeResize="0"/>
      </xdr:nvPicPr>
      <xdr:blipFill>
        <a:blip xmlns:r="http://schemas.openxmlformats.org/officeDocument/2006/relationships" r:embed="rId3" cstate="print"/>
        <a:stretch>
          <a:fillRect/>
        </a:stretch>
      </xdr:blipFill>
      <xdr:spPr>
        <a:xfrm>
          <a:off x="3863884" y="1327010"/>
          <a:ext cx="373171" cy="314325"/>
        </a:xfrm>
        <a:prstGeom prst="rect">
          <a:avLst/>
        </a:prstGeom>
        <a:noFill/>
      </xdr:spPr>
    </xdr:pic>
    <xdr:clientData fLocksWithSheet="0"/>
  </xdr:oneCellAnchor>
  <xdr:twoCellAnchor>
    <xdr:from>
      <xdr:col>3</xdr:col>
      <xdr:colOff>281940</xdr:colOff>
      <xdr:row>8</xdr:row>
      <xdr:rowOff>106680</xdr:rowOff>
    </xdr:from>
    <xdr:to>
      <xdr:col>5</xdr:col>
      <xdr:colOff>396240</xdr:colOff>
      <xdr:row>11</xdr:row>
      <xdr:rowOff>83820</xdr:rowOff>
    </xdr:to>
    <xdr:sp macro="" textlink="">
      <xdr:nvSpPr>
        <xdr:cNvPr id="9" name="TextBox 8">
          <a:extLst>
            <a:ext uri="{FF2B5EF4-FFF2-40B4-BE49-F238E27FC236}">
              <a16:creationId xmlns:a16="http://schemas.microsoft.com/office/drawing/2014/main" id="{50259562-7FBB-D974-F098-174E328C7C47}"/>
            </a:ext>
          </a:extLst>
        </xdr:cNvPr>
        <xdr:cNvSpPr txBox="1"/>
      </xdr:nvSpPr>
      <xdr:spPr>
        <a:xfrm>
          <a:off x="2247900" y="1630680"/>
          <a:ext cx="14249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chemeClr val="accent1">
                  <a:lumMod val="75000"/>
                </a:schemeClr>
              </a:solidFill>
              <a:latin typeface="Calibri"/>
              <a:ea typeface="Calibri"/>
              <a:cs typeface="Calibri"/>
            </a:rPr>
            <a:t>1470</a:t>
          </a:r>
          <a:r>
            <a:rPr lang="en-US" sz="2800" b="1">
              <a:effectLst/>
            </a:rPr>
            <a:t> </a:t>
          </a:r>
          <a:endParaRPr lang="en-US" sz="2800" b="1"/>
        </a:p>
      </xdr:txBody>
    </xdr:sp>
    <xdr:clientData/>
  </xdr:twoCellAnchor>
  <xdr:oneCellAnchor>
    <xdr:from>
      <xdr:col>10</xdr:col>
      <xdr:colOff>217714</xdr:colOff>
      <xdr:row>7</xdr:row>
      <xdr:rowOff>34290</xdr:rowOff>
    </xdr:from>
    <xdr:ext cx="628022" cy="400050"/>
    <xdr:pic>
      <xdr:nvPicPr>
        <xdr:cNvPr id="10" name="image7.png">
          <a:extLst>
            <a:ext uri="{FF2B5EF4-FFF2-40B4-BE49-F238E27FC236}">
              <a16:creationId xmlns:a16="http://schemas.microsoft.com/office/drawing/2014/main" id="{765227FE-7A94-4C08-8384-CA1BEAE4EF59}"/>
            </a:ext>
          </a:extLst>
        </xdr:cNvPr>
        <xdr:cNvPicPr preferRelativeResize="0"/>
      </xdr:nvPicPr>
      <xdr:blipFill>
        <a:blip xmlns:r="http://schemas.openxmlformats.org/officeDocument/2006/relationships" r:embed="rId4" cstate="print"/>
        <a:stretch>
          <a:fillRect/>
        </a:stretch>
      </xdr:blipFill>
      <xdr:spPr>
        <a:xfrm>
          <a:off x="6749143" y="1382444"/>
          <a:ext cx="628022" cy="400050"/>
        </a:xfrm>
        <a:prstGeom prst="rect">
          <a:avLst/>
        </a:prstGeom>
        <a:noFill/>
      </xdr:spPr>
    </xdr:pic>
    <xdr:clientData fLocksWithSheet="0"/>
  </xdr:oneCellAnchor>
  <xdr:oneCellAnchor>
    <xdr:from>
      <xdr:col>15</xdr:col>
      <xdr:colOff>8373</xdr:colOff>
      <xdr:row>6</xdr:row>
      <xdr:rowOff>179070</xdr:rowOff>
    </xdr:from>
    <xdr:ext cx="429777" cy="304800"/>
    <xdr:pic>
      <xdr:nvPicPr>
        <xdr:cNvPr id="11" name="image5.png">
          <a:extLst>
            <a:ext uri="{FF2B5EF4-FFF2-40B4-BE49-F238E27FC236}">
              <a16:creationId xmlns:a16="http://schemas.microsoft.com/office/drawing/2014/main" id="{4A78BE37-77B5-4B38-ACCD-937FCBF66095}"/>
            </a:ext>
          </a:extLst>
        </xdr:cNvPr>
        <xdr:cNvPicPr preferRelativeResize="0"/>
      </xdr:nvPicPr>
      <xdr:blipFill>
        <a:blip xmlns:r="http://schemas.openxmlformats.org/officeDocument/2006/relationships" r:embed="rId5" cstate="print"/>
        <a:stretch>
          <a:fillRect/>
        </a:stretch>
      </xdr:blipFill>
      <xdr:spPr>
        <a:xfrm>
          <a:off x="9805516" y="1334630"/>
          <a:ext cx="429777" cy="304800"/>
        </a:xfrm>
        <a:prstGeom prst="rect">
          <a:avLst/>
        </a:prstGeom>
        <a:noFill/>
      </xdr:spPr>
    </xdr:pic>
    <xdr:clientData fLocksWithSheet="0"/>
  </xdr:oneCellAnchor>
  <xdr:oneCellAnchor>
    <xdr:from>
      <xdr:col>19</xdr:col>
      <xdr:colOff>360066</xdr:colOff>
      <xdr:row>7</xdr:row>
      <xdr:rowOff>11430</xdr:rowOff>
    </xdr:from>
    <xdr:ext cx="415269" cy="314325"/>
    <xdr:pic>
      <xdr:nvPicPr>
        <xdr:cNvPr id="13" name="image2.png">
          <a:extLst>
            <a:ext uri="{FF2B5EF4-FFF2-40B4-BE49-F238E27FC236}">
              <a16:creationId xmlns:a16="http://schemas.microsoft.com/office/drawing/2014/main" id="{568FE1DE-4714-4D98-81B7-5181FB50BEF1}"/>
            </a:ext>
          </a:extLst>
        </xdr:cNvPr>
        <xdr:cNvPicPr preferRelativeResize="0"/>
      </xdr:nvPicPr>
      <xdr:blipFill>
        <a:blip xmlns:r="http://schemas.openxmlformats.org/officeDocument/2006/relationships" r:embed="rId6" cstate="print"/>
        <a:stretch>
          <a:fillRect/>
        </a:stretch>
      </xdr:blipFill>
      <xdr:spPr>
        <a:xfrm>
          <a:off x="12769780" y="1359584"/>
          <a:ext cx="415269" cy="314325"/>
        </a:xfrm>
        <a:prstGeom prst="rect">
          <a:avLst/>
        </a:prstGeom>
        <a:noFill/>
      </xdr:spPr>
    </xdr:pic>
    <xdr:clientData fLocksWithSheet="0"/>
  </xdr:oneCellAnchor>
  <xdr:oneCellAnchor>
    <xdr:from>
      <xdr:col>24</xdr:col>
      <xdr:colOff>34290</xdr:colOff>
      <xdr:row>7</xdr:row>
      <xdr:rowOff>26669</xdr:rowOff>
    </xdr:from>
    <xdr:ext cx="334149" cy="308275"/>
    <xdr:pic>
      <xdr:nvPicPr>
        <xdr:cNvPr id="14" name="image6.png">
          <a:extLst>
            <a:ext uri="{FF2B5EF4-FFF2-40B4-BE49-F238E27FC236}">
              <a16:creationId xmlns:a16="http://schemas.microsoft.com/office/drawing/2014/main" id="{F3269653-CC16-4C48-A51E-026065820891}"/>
            </a:ext>
          </a:extLst>
        </xdr:cNvPr>
        <xdr:cNvPicPr preferRelativeResize="0"/>
      </xdr:nvPicPr>
      <xdr:blipFill>
        <a:blip xmlns:r="http://schemas.openxmlformats.org/officeDocument/2006/relationships" r:embed="rId7" cstate="print"/>
        <a:stretch>
          <a:fillRect/>
        </a:stretch>
      </xdr:blipFill>
      <xdr:spPr>
        <a:xfrm>
          <a:off x="15709719" y="1374823"/>
          <a:ext cx="334149" cy="308275"/>
        </a:xfrm>
        <a:prstGeom prst="rect">
          <a:avLst/>
        </a:prstGeom>
        <a:noFill/>
      </xdr:spPr>
    </xdr:pic>
    <xdr:clientData fLocksWithSheet="0"/>
  </xdr:oneCellAnchor>
  <xdr:twoCellAnchor>
    <xdr:from>
      <xdr:col>7</xdr:col>
      <xdr:colOff>342900</xdr:colOff>
      <xdr:row>6</xdr:row>
      <xdr:rowOff>160020</xdr:rowOff>
    </xdr:from>
    <xdr:to>
      <xdr:col>10</xdr:col>
      <xdr:colOff>190500</xdr:colOff>
      <xdr:row>8</xdr:row>
      <xdr:rowOff>182880</xdr:rowOff>
    </xdr:to>
    <xdr:sp macro="" textlink="">
      <xdr:nvSpPr>
        <xdr:cNvPr id="15" name="TextBox 14">
          <a:extLst>
            <a:ext uri="{FF2B5EF4-FFF2-40B4-BE49-F238E27FC236}">
              <a16:creationId xmlns:a16="http://schemas.microsoft.com/office/drawing/2014/main" id="{5D736ABE-51DB-D9C0-12F6-7892D01508C1}"/>
            </a:ext>
          </a:extLst>
        </xdr:cNvPr>
        <xdr:cNvSpPr txBox="1"/>
      </xdr:nvSpPr>
      <xdr:spPr>
        <a:xfrm>
          <a:off x="4930140" y="1303020"/>
          <a:ext cx="18135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rPr>
            <a:t>Attrition</a:t>
          </a:r>
        </a:p>
      </xdr:txBody>
    </xdr:sp>
    <xdr:clientData/>
  </xdr:twoCellAnchor>
  <xdr:twoCellAnchor>
    <xdr:from>
      <xdr:col>8</xdr:col>
      <xdr:colOff>15240</xdr:colOff>
      <xdr:row>8</xdr:row>
      <xdr:rowOff>76200</xdr:rowOff>
    </xdr:from>
    <xdr:to>
      <xdr:col>10</xdr:col>
      <xdr:colOff>198120</xdr:colOff>
      <xdr:row>11</xdr:row>
      <xdr:rowOff>0</xdr:rowOff>
    </xdr:to>
    <xdr:sp macro="" textlink="KPI!B4">
      <xdr:nvSpPr>
        <xdr:cNvPr id="17" name="TextBox 16">
          <a:extLst>
            <a:ext uri="{FF2B5EF4-FFF2-40B4-BE49-F238E27FC236}">
              <a16:creationId xmlns:a16="http://schemas.microsoft.com/office/drawing/2014/main" id="{BDF53286-9E55-4C1A-60C9-4210DAA59571}"/>
            </a:ext>
          </a:extLst>
        </xdr:cNvPr>
        <xdr:cNvSpPr txBox="1"/>
      </xdr:nvSpPr>
      <xdr:spPr>
        <a:xfrm>
          <a:off x="5257800" y="1600200"/>
          <a:ext cx="14935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53A5BC-AD4C-4C5A-AA75-A561ED5AC03A}" type="TxLink">
            <a:rPr lang="en-US" sz="2800" b="1" i="0" u="none" strike="noStrike">
              <a:solidFill>
                <a:schemeClr val="accent1">
                  <a:lumMod val="75000"/>
                </a:schemeClr>
              </a:solidFill>
              <a:latin typeface="Calibri"/>
              <a:ea typeface="Calibri"/>
              <a:cs typeface="Calibri"/>
            </a:rPr>
            <a:pPr algn="ctr"/>
            <a:t>237</a:t>
          </a:fld>
          <a:endParaRPr lang="en-US" sz="2800" b="1">
            <a:solidFill>
              <a:schemeClr val="accent1">
                <a:lumMod val="75000"/>
              </a:schemeClr>
            </a:solidFill>
          </a:endParaRPr>
        </a:p>
      </xdr:txBody>
    </xdr:sp>
    <xdr:clientData/>
  </xdr:twoCellAnchor>
  <xdr:twoCellAnchor>
    <xdr:from>
      <xdr:col>11</xdr:col>
      <xdr:colOff>457200</xdr:colOff>
      <xdr:row>6</xdr:row>
      <xdr:rowOff>175260</xdr:rowOff>
    </xdr:from>
    <xdr:to>
      <xdr:col>14</xdr:col>
      <xdr:colOff>541020</xdr:colOff>
      <xdr:row>9</xdr:row>
      <xdr:rowOff>15240</xdr:rowOff>
    </xdr:to>
    <xdr:sp macro="" textlink="">
      <xdr:nvSpPr>
        <xdr:cNvPr id="16" name="TextBox 15">
          <a:extLst>
            <a:ext uri="{FF2B5EF4-FFF2-40B4-BE49-F238E27FC236}">
              <a16:creationId xmlns:a16="http://schemas.microsoft.com/office/drawing/2014/main" id="{B6543752-FE57-8BCD-1812-F2AFED509502}"/>
            </a:ext>
          </a:extLst>
        </xdr:cNvPr>
        <xdr:cNvSpPr txBox="1"/>
      </xdr:nvSpPr>
      <xdr:spPr>
        <a:xfrm>
          <a:off x="7665720" y="1318260"/>
          <a:ext cx="20497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rPr>
            <a:t>Active Employees</a:t>
          </a:r>
        </a:p>
      </xdr:txBody>
    </xdr:sp>
    <xdr:clientData/>
  </xdr:twoCellAnchor>
  <xdr:twoCellAnchor>
    <xdr:from>
      <xdr:col>12</xdr:col>
      <xdr:colOff>236220</xdr:colOff>
      <xdr:row>8</xdr:row>
      <xdr:rowOff>106680</xdr:rowOff>
    </xdr:from>
    <xdr:to>
      <xdr:col>14</xdr:col>
      <xdr:colOff>518160</xdr:colOff>
      <xdr:row>11</xdr:row>
      <xdr:rowOff>91440</xdr:rowOff>
    </xdr:to>
    <xdr:sp macro="" textlink="KPI!D8">
      <xdr:nvSpPr>
        <xdr:cNvPr id="18" name="TextBox 17">
          <a:extLst>
            <a:ext uri="{FF2B5EF4-FFF2-40B4-BE49-F238E27FC236}">
              <a16:creationId xmlns:a16="http://schemas.microsoft.com/office/drawing/2014/main" id="{F6AF2B3D-ECFD-E183-A72B-F53B4DBEDA1B}"/>
            </a:ext>
          </a:extLst>
        </xdr:cNvPr>
        <xdr:cNvSpPr txBox="1"/>
      </xdr:nvSpPr>
      <xdr:spPr>
        <a:xfrm>
          <a:off x="8100060" y="1630680"/>
          <a:ext cx="159258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471802-F858-43FF-B0B6-E0045094E2F2}" type="TxLink">
            <a:rPr lang="en-US" sz="2800" b="1" i="0" u="none" strike="noStrike">
              <a:solidFill>
                <a:schemeClr val="accent1">
                  <a:lumMod val="75000"/>
                </a:schemeClr>
              </a:solidFill>
              <a:latin typeface="Calibri"/>
              <a:ea typeface="Calibri"/>
              <a:cs typeface="Calibri"/>
            </a:rPr>
            <a:pPr algn="ctr"/>
            <a:t>1233</a:t>
          </a:fld>
          <a:endParaRPr lang="en-US" sz="2800" b="1">
            <a:solidFill>
              <a:schemeClr val="accent1">
                <a:lumMod val="75000"/>
              </a:schemeClr>
            </a:solidFill>
          </a:endParaRPr>
        </a:p>
      </xdr:txBody>
    </xdr:sp>
    <xdr:clientData/>
  </xdr:twoCellAnchor>
  <xdr:twoCellAnchor>
    <xdr:from>
      <xdr:col>16</xdr:col>
      <xdr:colOff>266700</xdr:colOff>
      <xdr:row>7</xdr:row>
      <xdr:rowOff>7620</xdr:rowOff>
    </xdr:from>
    <xdr:to>
      <xdr:col>19</xdr:col>
      <xdr:colOff>190500</xdr:colOff>
      <xdr:row>9</xdr:row>
      <xdr:rowOff>22860</xdr:rowOff>
    </xdr:to>
    <xdr:sp macro="" textlink="">
      <xdr:nvSpPr>
        <xdr:cNvPr id="19" name="TextBox 18">
          <a:extLst>
            <a:ext uri="{FF2B5EF4-FFF2-40B4-BE49-F238E27FC236}">
              <a16:creationId xmlns:a16="http://schemas.microsoft.com/office/drawing/2014/main" id="{08AAAFE9-610E-DFDA-897E-DC1E8B602684}"/>
            </a:ext>
          </a:extLst>
        </xdr:cNvPr>
        <xdr:cNvSpPr txBox="1"/>
      </xdr:nvSpPr>
      <xdr:spPr>
        <a:xfrm>
          <a:off x="10751820" y="1341120"/>
          <a:ext cx="18897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rPr>
            <a:t>Attrition Rate</a:t>
          </a:r>
        </a:p>
      </xdr:txBody>
    </xdr:sp>
    <xdr:clientData/>
  </xdr:twoCellAnchor>
  <xdr:twoCellAnchor>
    <xdr:from>
      <xdr:col>17</xdr:col>
      <xdr:colOff>160021</xdr:colOff>
      <xdr:row>8</xdr:row>
      <xdr:rowOff>129540</xdr:rowOff>
    </xdr:from>
    <xdr:to>
      <xdr:col>19</xdr:col>
      <xdr:colOff>75364</xdr:colOff>
      <xdr:row>11</xdr:row>
      <xdr:rowOff>83820</xdr:rowOff>
    </xdr:to>
    <xdr:sp macro="" textlink="KPI!E8">
      <xdr:nvSpPr>
        <xdr:cNvPr id="20" name="TextBox 19">
          <a:extLst>
            <a:ext uri="{FF2B5EF4-FFF2-40B4-BE49-F238E27FC236}">
              <a16:creationId xmlns:a16="http://schemas.microsoft.com/office/drawing/2014/main" id="{79256EBF-4363-D71D-0CE1-B0B8EA90539B}"/>
            </a:ext>
          </a:extLst>
        </xdr:cNvPr>
        <xdr:cNvSpPr txBox="1"/>
      </xdr:nvSpPr>
      <xdr:spPr>
        <a:xfrm>
          <a:off x="11263450" y="1670287"/>
          <a:ext cx="1221628" cy="53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D5BB41-D311-422B-8BC0-7B786E88B391}" type="TxLink">
            <a:rPr lang="en-US" sz="2800" b="1" i="0" u="none" strike="noStrike">
              <a:solidFill>
                <a:schemeClr val="accent1">
                  <a:lumMod val="75000"/>
                </a:schemeClr>
              </a:solidFill>
              <a:latin typeface="Calibri"/>
              <a:ea typeface="Calibri"/>
              <a:cs typeface="Calibri"/>
            </a:rPr>
            <a:pPr algn="ctr"/>
            <a:t>16.12%</a:t>
          </a:fld>
          <a:endParaRPr lang="en-US" sz="2800" b="1">
            <a:solidFill>
              <a:schemeClr val="accent1">
                <a:lumMod val="75000"/>
              </a:schemeClr>
            </a:solidFill>
          </a:endParaRPr>
        </a:p>
      </xdr:txBody>
    </xdr:sp>
    <xdr:clientData/>
  </xdr:twoCellAnchor>
  <xdr:twoCellAnchor>
    <xdr:from>
      <xdr:col>20</xdr:col>
      <xdr:colOff>579120</xdr:colOff>
      <xdr:row>7</xdr:row>
      <xdr:rowOff>22860</xdr:rowOff>
    </xdr:from>
    <xdr:to>
      <xdr:col>23</xdr:col>
      <xdr:colOff>579120</xdr:colOff>
      <xdr:row>9</xdr:row>
      <xdr:rowOff>7620</xdr:rowOff>
    </xdr:to>
    <xdr:sp macro="" textlink="">
      <xdr:nvSpPr>
        <xdr:cNvPr id="21" name="TextBox 20">
          <a:extLst>
            <a:ext uri="{FF2B5EF4-FFF2-40B4-BE49-F238E27FC236}">
              <a16:creationId xmlns:a16="http://schemas.microsoft.com/office/drawing/2014/main" id="{894B2E5F-9F7E-3CFD-C474-E7256AAC4230}"/>
            </a:ext>
          </a:extLst>
        </xdr:cNvPr>
        <xdr:cNvSpPr txBox="1"/>
      </xdr:nvSpPr>
      <xdr:spPr>
        <a:xfrm>
          <a:off x="13685520" y="1356360"/>
          <a:ext cx="19659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rPr>
            <a:t>Average Age</a:t>
          </a:r>
        </a:p>
      </xdr:txBody>
    </xdr:sp>
    <xdr:clientData/>
  </xdr:twoCellAnchor>
  <xdr:twoCellAnchor>
    <xdr:from>
      <xdr:col>21</xdr:col>
      <xdr:colOff>304800</xdr:colOff>
      <xdr:row>8</xdr:row>
      <xdr:rowOff>121920</xdr:rowOff>
    </xdr:from>
    <xdr:to>
      <xdr:col>23</xdr:col>
      <xdr:colOff>594360</xdr:colOff>
      <xdr:row>11</xdr:row>
      <xdr:rowOff>60960</xdr:rowOff>
    </xdr:to>
    <xdr:sp macro="" textlink="KPI!C8">
      <xdr:nvSpPr>
        <xdr:cNvPr id="22" name="TextBox 21">
          <a:extLst>
            <a:ext uri="{FF2B5EF4-FFF2-40B4-BE49-F238E27FC236}">
              <a16:creationId xmlns:a16="http://schemas.microsoft.com/office/drawing/2014/main" id="{E0E6E231-EEB9-C67A-262C-529D12152460}"/>
            </a:ext>
          </a:extLst>
        </xdr:cNvPr>
        <xdr:cNvSpPr txBox="1"/>
      </xdr:nvSpPr>
      <xdr:spPr>
        <a:xfrm>
          <a:off x="14066520" y="1645920"/>
          <a:ext cx="160020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BEEE4A-5A62-445E-A363-ADCBDFAF6ABC}" type="TxLink">
            <a:rPr lang="en-US" sz="2800" b="1" i="0" u="none" strike="noStrike">
              <a:solidFill>
                <a:schemeClr val="accent1">
                  <a:lumMod val="75000"/>
                </a:schemeClr>
              </a:solidFill>
              <a:latin typeface="Calibri"/>
              <a:ea typeface="Calibri"/>
              <a:cs typeface="Calibri"/>
            </a:rPr>
            <a:pPr algn="ctr"/>
            <a:t>37</a:t>
          </a:fld>
          <a:endParaRPr lang="en-US" sz="2800" b="1">
            <a:solidFill>
              <a:schemeClr val="accent1">
                <a:lumMod val="75000"/>
              </a:schemeClr>
            </a:solidFill>
          </a:endParaRPr>
        </a:p>
      </xdr:txBody>
    </xdr:sp>
    <xdr:clientData/>
  </xdr:twoCellAnchor>
  <xdr:twoCellAnchor>
    <xdr:from>
      <xdr:col>17</xdr:col>
      <xdr:colOff>41868</xdr:colOff>
      <xdr:row>2</xdr:row>
      <xdr:rowOff>50241</xdr:rowOff>
    </xdr:from>
    <xdr:to>
      <xdr:col>20</xdr:col>
      <xdr:colOff>192594</xdr:colOff>
      <xdr:row>5</xdr:row>
      <xdr:rowOff>133978</xdr:rowOff>
    </xdr:to>
    <xdr:sp macro="" textlink="">
      <xdr:nvSpPr>
        <xdr:cNvPr id="23" name="TextBox 22">
          <a:extLst>
            <a:ext uri="{FF2B5EF4-FFF2-40B4-BE49-F238E27FC236}">
              <a16:creationId xmlns:a16="http://schemas.microsoft.com/office/drawing/2014/main" id="{50C244F6-D731-D8CC-6612-0AC8688BB7B1}"/>
            </a:ext>
          </a:extLst>
        </xdr:cNvPr>
        <xdr:cNvSpPr txBox="1"/>
      </xdr:nvSpPr>
      <xdr:spPr>
        <a:xfrm>
          <a:off x="11145297" y="435428"/>
          <a:ext cx="2110154" cy="661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rgbClr val="602928"/>
              </a:solidFill>
            </a:rPr>
            <a:t>JOB</a:t>
          </a:r>
          <a:r>
            <a:rPr lang="en-US" sz="1800" b="1" baseline="0">
              <a:solidFill>
                <a:srgbClr val="602928"/>
              </a:solidFill>
            </a:rPr>
            <a:t> SATISFACTION RATING</a:t>
          </a:r>
        </a:p>
        <a:p>
          <a:endParaRPr lang="en-US" sz="1100"/>
        </a:p>
      </xdr:txBody>
    </xdr:sp>
    <xdr:clientData/>
  </xdr:twoCellAnchor>
  <xdr:twoCellAnchor>
    <xdr:from>
      <xdr:col>19</xdr:col>
      <xdr:colOff>611275</xdr:colOff>
      <xdr:row>1</xdr:row>
      <xdr:rowOff>150726</xdr:rowOff>
    </xdr:from>
    <xdr:to>
      <xdr:col>21</xdr:col>
      <xdr:colOff>234462</xdr:colOff>
      <xdr:row>6</xdr:row>
      <xdr:rowOff>8375</xdr:rowOff>
    </xdr:to>
    <xdr:graphicFrame macro="">
      <xdr:nvGraphicFramePr>
        <xdr:cNvPr id="24" name="Chart 23">
          <a:extLst>
            <a:ext uri="{FF2B5EF4-FFF2-40B4-BE49-F238E27FC236}">
              <a16:creationId xmlns:a16="http://schemas.microsoft.com/office/drawing/2014/main" id="{81BADB12-8375-457F-9C17-8B0C40E53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226088</xdr:colOff>
      <xdr:row>3</xdr:row>
      <xdr:rowOff>25121</xdr:rowOff>
    </xdr:from>
    <xdr:to>
      <xdr:col>20</xdr:col>
      <xdr:colOff>619647</xdr:colOff>
      <xdr:row>4</xdr:row>
      <xdr:rowOff>117230</xdr:rowOff>
    </xdr:to>
    <xdr:sp macro="" textlink="Rating!A4">
      <xdr:nvSpPr>
        <xdr:cNvPr id="25" name="TextBox 24">
          <a:extLst>
            <a:ext uri="{FF2B5EF4-FFF2-40B4-BE49-F238E27FC236}">
              <a16:creationId xmlns:a16="http://schemas.microsoft.com/office/drawing/2014/main" id="{60720FC0-BE00-CF8B-FDEF-F276231DEC33}"/>
            </a:ext>
          </a:extLst>
        </xdr:cNvPr>
        <xdr:cNvSpPr txBox="1"/>
      </xdr:nvSpPr>
      <xdr:spPr>
        <a:xfrm>
          <a:off x="13288945" y="602901"/>
          <a:ext cx="393559" cy="284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008F54-40DD-498E-B624-C59C65B67B1A}" type="TxLink">
            <a:rPr lang="en-US" sz="1200" b="1" i="0" u="none" strike="noStrike">
              <a:solidFill>
                <a:srgbClr val="602928"/>
              </a:solidFill>
              <a:latin typeface="Calibri"/>
              <a:ea typeface="Calibri"/>
              <a:cs typeface="Calibri"/>
            </a:rPr>
            <a:pPr algn="ctr"/>
            <a:t>2.6</a:t>
          </a:fld>
          <a:endParaRPr lang="en-US" sz="1100" b="1">
            <a:solidFill>
              <a:srgbClr val="602928"/>
            </a:solidFill>
          </a:endParaRPr>
        </a:p>
      </xdr:txBody>
    </xdr:sp>
    <xdr:clientData/>
  </xdr:twoCellAnchor>
  <xdr:twoCellAnchor>
    <xdr:from>
      <xdr:col>21</xdr:col>
      <xdr:colOff>175845</xdr:colOff>
      <xdr:row>1</xdr:row>
      <xdr:rowOff>150726</xdr:rowOff>
    </xdr:from>
    <xdr:to>
      <xdr:col>24</xdr:col>
      <xdr:colOff>543153</xdr:colOff>
      <xdr:row>6</xdr:row>
      <xdr:rowOff>41869</xdr:rowOff>
    </xdr:to>
    <xdr:graphicFrame macro="">
      <xdr:nvGraphicFramePr>
        <xdr:cNvPr id="89" name="Chart 88">
          <a:extLst>
            <a:ext uri="{FF2B5EF4-FFF2-40B4-BE49-F238E27FC236}">
              <a16:creationId xmlns:a16="http://schemas.microsoft.com/office/drawing/2014/main" id="{BB050A7E-B49A-4351-BE49-BC0EA5647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254558</xdr:colOff>
      <xdr:row>2</xdr:row>
      <xdr:rowOff>179196</xdr:rowOff>
    </xdr:from>
    <xdr:to>
      <xdr:col>22</xdr:col>
      <xdr:colOff>556637</xdr:colOff>
      <xdr:row>4</xdr:row>
      <xdr:rowOff>96088</xdr:rowOff>
    </xdr:to>
    <xdr:sp macro="" textlink="">
      <xdr:nvSpPr>
        <xdr:cNvPr id="93" name="Star: 5 Points 92">
          <a:extLst>
            <a:ext uri="{FF2B5EF4-FFF2-40B4-BE49-F238E27FC236}">
              <a16:creationId xmlns:a16="http://schemas.microsoft.com/office/drawing/2014/main" id="{DAC5F48B-5DD1-4C79-8C26-29BC569EB8F6}"/>
            </a:ext>
          </a:extLst>
        </xdr:cNvPr>
        <xdr:cNvSpPr/>
      </xdr:nvSpPr>
      <xdr:spPr>
        <a:xfrm>
          <a:off x="14623701" y="564383"/>
          <a:ext cx="302079" cy="302079"/>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22</xdr:col>
      <xdr:colOff>621323</xdr:colOff>
      <xdr:row>2</xdr:row>
      <xdr:rowOff>185894</xdr:rowOff>
    </xdr:from>
    <xdr:to>
      <xdr:col>23</xdr:col>
      <xdr:colOff>270259</xdr:colOff>
      <xdr:row>4</xdr:row>
      <xdr:rowOff>102786</xdr:rowOff>
    </xdr:to>
    <xdr:sp macro="" textlink="">
      <xdr:nvSpPr>
        <xdr:cNvPr id="92" name="Star: 5 Points 91">
          <a:extLst>
            <a:ext uri="{FF2B5EF4-FFF2-40B4-BE49-F238E27FC236}">
              <a16:creationId xmlns:a16="http://schemas.microsoft.com/office/drawing/2014/main" id="{350CEF35-B24D-4DFC-AC02-213C9357664C}"/>
            </a:ext>
          </a:extLst>
        </xdr:cNvPr>
        <xdr:cNvSpPr/>
      </xdr:nvSpPr>
      <xdr:spPr>
        <a:xfrm>
          <a:off x="14990466" y="571081"/>
          <a:ext cx="302079" cy="302079"/>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23</xdr:col>
      <xdr:colOff>368439</xdr:colOff>
      <xdr:row>3</xdr:row>
      <xdr:rowOff>0</xdr:rowOff>
    </xdr:from>
    <xdr:to>
      <xdr:col>24</xdr:col>
      <xdr:colOff>17375</xdr:colOff>
      <xdr:row>4</xdr:row>
      <xdr:rowOff>109485</xdr:rowOff>
    </xdr:to>
    <xdr:sp macro="" textlink="">
      <xdr:nvSpPr>
        <xdr:cNvPr id="91" name="Star: 5 Points 90">
          <a:extLst>
            <a:ext uri="{FF2B5EF4-FFF2-40B4-BE49-F238E27FC236}">
              <a16:creationId xmlns:a16="http://schemas.microsoft.com/office/drawing/2014/main" id="{AD61FE7A-B4E6-417C-80E5-95F25C1337E4}"/>
            </a:ext>
          </a:extLst>
        </xdr:cNvPr>
        <xdr:cNvSpPr/>
      </xdr:nvSpPr>
      <xdr:spPr>
        <a:xfrm>
          <a:off x="15390725" y="577780"/>
          <a:ext cx="302079" cy="302079"/>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21</xdr:col>
      <xdr:colOff>527538</xdr:colOff>
      <xdr:row>2</xdr:row>
      <xdr:rowOff>167472</xdr:rowOff>
    </xdr:from>
    <xdr:to>
      <xdr:col>22</xdr:col>
      <xdr:colOff>176474</xdr:colOff>
      <xdr:row>4</xdr:row>
      <xdr:rowOff>84364</xdr:rowOff>
    </xdr:to>
    <xdr:sp macro="" textlink="">
      <xdr:nvSpPr>
        <xdr:cNvPr id="90" name="Star: 5 Points 89">
          <a:extLst>
            <a:ext uri="{FF2B5EF4-FFF2-40B4-BE49-F238E27FC236}">
              <a16:creationId xmlns:a16="http://schemas.microsoft.com/office/drawing/2014/main" id="{5A1CE7A4-51C4-4C59-9591-896736063E92}"/>
            </a:ext>
          </a:extLst>
        </xdr:cNvPr>
        <xdr:cNvSpPr/>
      </xdr:nvSpPr>
      <xdr:spPr>
        <a:xfrm>
          <a:off x="14243538" y="552659"/>
          <a:ext cx="302079" cy="302079"/>
        </a:xfrm>
        <a:prstGeom prst="star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532252</xdr:colOff>
      <xdr:row>18</xdr:row>
      <xdr:rowOff>159099</xdr:rowOff>
    </xdr:from>
    <xdr:to>
      <xdr:col>4</xdr:col>
      <xdr:colOff>203377</xdr:colOff>
      <xdr:row>24</xdr:row>
      <xdr:rowOff>192592</xdr:rowOff>
    </xdr:to>
    <xdr:graphicFrame macro="">
      <xdr:nvGraphicFramePr>
        <xdr:cNvPr id="104" name="Chart 103">
          <a:extLst>
            <a:ext uri="{FF2B5EF4-FFF2-40B4-BE49-F238E27FC236}">
              <a16:creationId xmlns:a16="http://schemas.microsoft.com/office/drawing/2014/main" id="{BCF0341D-D6E3-40A2-8300-A273584A9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5</xdr:col>
      <xdr:colOff>595252</xdr:colOff>
      <xdr:row>19</xdr:row>
      <xdr:rowOff>13828</xdr:rowOff>
    </xdr:from>
    <xdr:to>
      <xdr:col>7</xdr:col>
      <xdr:colOff>334945</xdr:colOff>
      <xdr:row>23</xdr:row>
      <xdr:rowOff>159101</xdr:rowOff>
    </xdr:to>
    <xdr:pic>
      <xdr:nvPicPr>
        <xdr:cNvPr id="110" name="Graphic 109" descr="Male profile with solid fill">
          <a:extLst>
            <a:ext uri="{FF2B5EF4-FFF2-40B4-BE49-F238E27FC236}">
              <a16:creationId xmlns:a16="http://schemas.microsoft.com/office/drawing/2014/main" id="{D24AEB17-2A3D-7469-123E-DDFB192BF05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60966" y="3673103"/>
          <a:ext cx="1045979" cy="915646"/>
        </a:xfrm>
        <a:prstGeom prst="rect">
          <a:avLst/>
        </a:prstGeom>
      </xdr:spPr>
    </xdr:pic>
    <xdr:clientData/>
  </xdr:twoCellAnchor>
  <xdr:twoCellAnchor editAs="oneCell">
    <xdr:from>
      <xdr:col>4</xdr:col>
      <xdr:colOff>326573</xdr:colOff>
      <xdr:row>19</xdr:row>
      <xdr:rowOff>41868</xdr:rowOff>
    </xdr:from>
    <xdr:to>
      <xdr:col>6</xdr:col>
      <xdr:colOff>108858</xdr:colOff>
      <xdr:row>23</xdr:row>
      <xdr:rowOff>142353</xdr:rowOff>
    </xdr:to>
    <xdr:pic>
      <xdr:nvPicPr>
        <xdr:cNvPr id="112" name="Graphic 111" descr="Female Profile with solid fill">
          <a:extLst>
            <a:ext uri="{FF2B5EF4-FFF2-40B4-BE49-F238E27FC236}">
              <a16:creationId xmlns:a16="http://schemas.microsoft.com/office/drawing/2014/main" id="{562CA369-626A-FE24-AABA-FFA59C0BD23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939144" y="3701143"/>
          <a:ext cx="1088571" cy="870858"/>
        </a:xfrm>
        <a:prstGeom prst="rect">
          <a:avLst/>
        </a:prstGeom>
      </xdr:spPr>
    </xdr:pic>
    <xdr:clientData/>
  </xdr:twoCellAnchor>
  <xdr:twoCellAnchor>
    <xdr:from>
      <xdr:col>7</xdr:col>
      <xdr:colOff>343319</xdr:colOff>
      <xdr:row>18</xdr:row>
      <xdr:rowOff>159099</xdr:rowOff>
    </xdr:from>
    <xdr:to>
      <xdr:col>9</xdr:col>
      <xdr:colOff>25580</xdr:colOff>
      <xdr:row>25</xdr:row>
      <xdr:rowOff>8374</xdr:rowOff>
    </xdr:to>
    <xdr:graphicFrame macro="">
      <xdr:nvGraphicFramePr>
        <xdr:cNvPr id="26" name="Chart 25">
          <a:extLst>
            <a:ext uri="{FF2B5EF4-FFF2-40B4-BE49-F238E27FC236}">
              <a16:creationId xmlns:a16="http://schemas.microsoft.com/office/drawing/2014/main" id="{6D764BEB-316C-4D20-8994-16A043ED3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97719</xdr:colOff>
      <xdr:row>20</xdr:row>
      <xdr:rowOff>166805</xdr:rowOff>
    </xdr:from>
    <xdr:to>
      <xdr:col>4</xdr:col>
      <xdr:colOff>64225</xdr:colOff>
      <xdr:row>23</xdr:row>
      <xdr:rowOff>116563</xdr:rowOff>
    </xdr:to>
    <xdr:sp macro="" textlink="Gender!B10">
      <xdr:nvSpPr>
        <xdr:cNvPr id="27" name="TextBox 26">
          <a:extLst>
            <a:ext uri="{FF2B5EF4-FFF2-40B4-BE49-F238E27FC236}">
              <a16:creationId xmlns:a16="http://schemas.microsoft.com/office/drawing/2014/main" id="{DC38A671-0731-58C4-2E70-B15CBDAA185A}"/>
            </a:ext>
          </a:extLst>
        </xdr:cNvPr>
        <xdr:cNvSpPr txBox="1"/>
      </xdr:nvSpPr>
      <xdr:spPr>
        <a:xfrm>
          <a:off x="2057148" y="4018673"/>
          <a:ext cx="619648" cy="527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5D6B62-CDEB-4EFA-A577-732210AB4BF4}" type="TxLink">
            <a:rPr lang="en-US" sz="2000" b="1" i="0" u="none" strike="noStrike">
              <a:solidFill>
                <a:schemeClr val="accent1">
                  <a:lumMod val="75000"/>
                </a:schemeClr>
              </a:solidFill>
              <a:latin typeface="Calibri"/>
              <a:ea typeface="Calibri"/>
              <a:cs typeface="Calibri"/>
            </a:rPr>
            <a:pPr/>
            <a:t>588</a:t>
          </a:fld>
          <a:endParaRPr lang="en-US" sz="1800" b="1">
            <a:solidFill>
              <a:schemeClr val="accent1">
                <a:lumMod val="75000"/>
              </a:schemeClr>
            </a:solidFill>
          </a:endParaRPr>
        </a:p>
      </xdr:txBody>
    </xdr:sp>
    <xdr:clientData/>
  </xdr:twoCellAnchor>
  <xdr:twoCellAnchor editAs="oneCell">
    <xdr:from>
      <xdr:col>4</xdr:col>
      <xdr:colOff>313468</xdr:colOff>
      <xdr:row>15</xdr:row>
      <xdr:rowOff>16747</xdr:rowOff>
    </xdr:from>
    <xdr:to>
      <xdr:col>7</xdr:col>
      <xdr:colOff>182839</xdr:colOff>
      <xdr:row>18</xdr:row>
      <xdr:rowOff>159099</xdr:rowOff>
    </xdr:to>
    <mc:AlternateContent xmlns:mc="http://schemas.openxmlformats.org/markup-compatibility/2006" xmlns:a14="http://schemas.microsoft.com/office/drawing/2010/main">
      <mc:Choice Requires="a14">
        <xdr:graphicFrame macro="">
          <xdr:nvGraphicFramePr>
            <xdr:cNvPr id="12" name="Gender 3">
              <a:extLst>
                <a:ext uri="{FF2B5EF4-FFF2-40B4-BE49-F238E27FC236}">
                  <a16:creationId xmlns:a16="http://schemas.microsoft.com/office/drawing/2014/main" id="{72F183F0-F25E-4474-8213-B8E30787D30B}"/>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943934" y="2835103"/>
              <a:ext cx="1842220" cy="706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491561</xdr:colOff>
      <xdr:row>12</xdr:row>
      <xdr:rowOff>104428</xdr:rowOff>
    </xdr:from>
    <xdr:to>
      <xdr:col>7</xdr:col>
      <xdr:colOff>168889</xdr:colOff>
      <xdr:row>14</xdr:row>
      <xdr:rowOff>60917</xdr:rowOff>
    </xdr:to>
    <xdr:sp macro="" textlink="">
      <xdr:nvSpPr>
        <xdr:cNvPr id="28" name="TextBox 27">
          <a:extLst>
            <a:ext uri="{FF2B5EF4-FFF2-40B4-BE49-F238E27FC236}">
              <a16:creationId xmlns:a16="http://schemas.microsoft.com/office/drawing/2014/main" id="{825E2B1C-4FDA-EF63-6A46-3E1A4CFECA6D}"/>
            </a:ext>
          </a:extLst>
        </xdr:cNvPr>
        <xdr:cNvSpPr txBox="1"/>
      </xdr:nvSpPr>
      <xdr:spPr>
        <a:xfrm>
          <a:off x="1806794" y="2359113"/>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Total Employees by</a:t>
          </a:r>
          <a:r>
            <a:rPr lang="en-US" sz="1600" b="1" baseline="0">
              <a:solidFill>
                <a:srgbClr val="602928"/>
              </a:solidFill>
            </a:rPr>
            <a:t> Gender</a:t>
          </a:r>
          <a:endParaRPr lang="en-US" sz="1600" b="1">
            <a:solidFill>
              <a:srgbClr val="602928"/>
            </a:solidFill>
          </a:endParaRPr>
        </a:p>
      </xdr:txBody>
    </xdr:sp>
    <xdr:clientData/>
  </xdr:twoCellAnchor>
  <xdr:twoCellAnchor>
    <xdr:from>
      <xdr:col>9</xdr:col>
      <xdr:colOff>361073</xdr:colOff>
      <xdr:row>14</xdr:row>
      <xdr:rowOff>60917</xdr:rowOff>
    </xdr:from>
    <xdr:to>
      <xdr:col>17</xdr:col>
      <xdr:colOff>160021</xdr:colOff>
      <xdr:row>26</xdr:row>
      <xdr:rowOff>88171</xdr:rowOff>
    </xdr:to>
    <xdr:graphicFrame macro="">
      <xdr:nvGraphicFramePr>
        <xdr:cNvPr id="54" name="Chart 53">
          <a:extLst>
            <a:ext uri="{FF2B5EF4-FFF2-40B4-BE49-F238E27FC236}">
              <a16:creationId xmlns:a16="http://schemas.microsoft.com/office/drawing/2014/main" id="{47C7115A-AF19-469A-A42D-0FD14C102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288735</xdr:colOff>
      <xdr:row>12</xdr:row>
      <xdr:rowOff>88046</xdr:rowOff>
    </xdr:from>
    <xdr:to>
      <xdr:col>13</xdr:col>
      <xdr:colOff>623679</xdr:colOff>
      <xdr:row>14</xdr:row>
      <xdr:rowOff>44535</xdr:rowOff>
    </xdr:to>
    <xdr:sp macro="" textlink="">
      <xdr:nvSpPr>
        <xdr:cNvPr id="55" name="TextBox 54">
          <a:extLst>
            <a:ext uri="{FF2B5EF4-FFF2-40B4-BE49-F238E27FC236}">
              <a16:creationId xmlns:a16="http://schemas.microsoft.com/office/drawing/2014/main" id="{BFB6D4ED-2B0E-4C36-B05B-D30545051D4F}"/>
            </a:ext>
          </a:extLst>
        </xdr:cNvPr>
        <xdr:cNvSpPr txBox="1"/>
      </xdr:nvSpPr>
      <xdr:spPr>
        <a:xfrm>
          <a:off x="6207283" y="2342731"/>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Education wise Attrition</a:t>
          </a:r>
        </a:p>
      </xdr:txBody>
    </xdr:sp>
    <xdr:clientData/>
  </xdr:twoCellAnchor>
  <xdr:twoCellAnchor>
    <xdr:from>
      <xdr:col>17</xdr:col>
      <xdr:colOff>399755</xdr:colOff>
      <xdr:row>14</xdr:row>
      <xdr:rowOff>96033</xdr:rowOff>
    </xdr:from>
    <xdr:to>
      <xdr:col>24</xdr:col>
      <xdr:colOff>368439</xdr:colOff>
      <xdr:row>26</xdr:row>
      <xdr:rowOff>88171</xdr:rowOff>
    </xdr:to>
    <mc:AlternateContent xmlns:mc="http://schemas.openxmlformats.org/markup-compatibility/2006">
      <mc:Choice xmlns:cx1="http://schemas.microsoft.com/office/drawing/2015/9/8/chartex" Requires="cx1">
        <xdr:graphicFrame macro="">
          <xdr:nvGraphicFramePr>
            <xdr:cNvPr id="56" name="Chart 55">
              <a:extLst>
                <a:ext uri="{FF2B5EF4-FFF2-40B4-BE49-F238E27FC236}">
                  <a16:creationId xmlns:a16="http://schemas.microsoft.com/office/drawing/2014/main" id="{92769629-48A4-494C-976F-36B10E0C7A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540195" y="2763033"/>
              <a:ext cx="4555924" cy="22781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445014</xdr:colOff>
      <xdr:row>12</xdr:row>
      <xdr:rowOff>104428</xdr:rowOff>
    </xdr:from>
    <xdr:to>
      <xdr:col>22</xdr:col>
      <xdr:colOff>122341</xdr:colOff>
      <xdr:row>14</xdr:row>
      <xdr:rowOff>60917</xdr:rowOff>
    </xdr:to>
    <xdr:sp macro="" textlink="">
      <xdr:nvSpPr>
        <xdr:cNvPr id="57" name="TextBox 56">
          <a:extLst>
            <a:ext uri="{FF2B5EF4-FFF2-40B4-BE49-F238E27FC236}">
              <a16:creationId xmlns:a16="http://schemas.microsoft.com/office/drawing/2014/main" id="{4F61E4FC-0FD6-4289-8C6F-B1B5C7B58F2C}"/>
            </a:ext>
          </a:extLst>
        </xdr:cNvPr>
        <xdr:cNvSpPr txBox="1"/>
      </xdr:nvSpPr>
      <xdr:spPr>
        <a:xfrm>
          <a:off x="11624493" y="2359113"/>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Attrition by Job Role</a:t>
          </a:r>
        </a:p>
      </xdr:txBody>
    </xdr:sp>
    <xdr:clientData/>
  </xdr:twoCellAnchor>
  <xdr:twoCellAnchor>
    <xdr:from>
      <xdr:col>2</xdr:col>
      <xdr:colOff>441674</xdr:colOff>
      <xdr:row>28</xdr:row>
      <xdr:rowOff>170377</xdr:rowOff>
    </xdr:from>
    <xdr:to>
      <xdr:col>9</xdr:col>
      <xdr:colOff>1</xdr:colOff>
      <xdr:row>40</xdr:row>
      <xdr:rowOff>65993</xdr:rowOff>
    </xdr:to>
    <xdr:graphicFrame macro="">
      <xdr:nvGraphicFramePr>
        <xdr:cNvPr id="58" name="Chart 57">
          <a:extLst>
            <a:ext uri="{FF2B5EF4-FFF2-40B4-BE49-F238E27FC236}">
              <a16:creationId xmlns:a16="http://schemas.microsoft.com/office/drawing/2014/main" id="{6590A5A5-D07D-4DC0-AEA7-A842A69BB3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532251</xdr:colOff>
      <xdr:row>27</xdr:row>
      <xdr:rowOff>11430</xdr:rowOff>
    </xdr:from>
    <xdr:to>
      <xdr:col>7</xdr:col>
      <xdr:colOff>209579</xdr:colOff>
      <xdr:row>28</xdr:row>
      <xdr:rowOff>155809</xdr:rowOff>
    </xdr:to>
    <xdr:sp macro="" textlink="">
      <xdr:nvSpPr>
        <xdr:cNvPr id="59" name="TextBox 58">
          <a:extLst>
            <a:ext uri="{FF2B5EF4-FFF2-40B4-BE49-F238E27FC236}">
              <a16:creationId xmlns:a16="http://schemas.microsoft.com/office/drawing/2014/main" id="{BFC39F5D-A126-4D24-BCDC-953C676F5AE9}"/>
            </a:ext>
          </a:extLst>
        </xdr:cNvPr>
        <xdr:cNvSpPr txBox="1"/>
      </xdr:nvSpPr>
      <xdr:spPr>
        <a:xfrm>
          <a:off x="1847484" y="5084471"/>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Depatment</a:t>
          </a:r>
          <a:r>
            <a:rPr lang="en-US" sz="1600" b="1" baseline="0">
              <a:solidFill>
                <a:srgbClr val="602928"/>
              </a:solidFill>
            </a:rPr>
            <a:t> wise </a:t>
          </a:r>
          <a:r>
            <a:rPr lang="en-US" sz="1600" b="1">
              <a:solidFill>
                <a:srgbClr val="602928"/>
              </a:solidFill>
            </a:rPr>
            <a:t>Attrition</a:t>
          </a:r>
        </a:p>
      </xdr:txBody>
    </xdr:sp>
    <xdr:clientData/>
  </xdr:twoCellAnchor>
  <xdr:twoCellAnchor>
    <xdr:from>
      <xdr:col>9</xdr:col>
      <xdr:colOff>322672</xdr:colOff>
      <xdr:row>26</xdr:row>
      <xdr:rowOff>172493</xdr:rowOff>
    </xdr:from>
    <xdr:to>
      <xdr:col>14</xdr:col>
      <xdr:colOff>0</xdr:colOff>
      <xdr:row>28</xdr:row>
      <xdr:rowOff>128982</xdr:rowOff>
    </xdr:to>
    <xdr:sp macro="" textlink="">
      <xdr:nvSpPr>
        <xdr:cNvPr id="60" name="TextBox 59">
          <a:extLst>
            <a:ext uri="{FF2B5EF4-FFF2-40B4-BE49-F238E27FC236}">
              <a16:creationId xmlns:a16="http://schemas.microsoft.com/office/drawing/2014/main" id="{02B02004-FC97-4064-948D-CA5271F66FB6}"/>
            </a:ext>
          </a:extLst>
        </xdr:cNvPr>
        <xdr:cNvSpPr txBox="1"/>
      </xdr:nvSpPr>
      <xdr:spPr>
        <a:xfrm>
          <a:off x="6241220" y="5057644"/>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Attrition by Age Group</a:t>
          </a:r>
        </a:p>
      </xdr:txBody>
    </xdr:sp>
    <xdr:clientData/>
  </xdr:twoCellAnchor>
  <xdr:twoCellAnchor>
    <xdr:from>
      <xdr:col>15</xdr:col>
      <xdr:colOff>351896</xdr:colOff>
      <xdr:row>26</xdr:row>
      <xdr:rowOff>187271</xdr:rowOff>
    </xdr:from>
    <xdr:to>
      <xdr:col>20</xdr:col>
      <xdr:colOff>29224</xdr:colOff>
      <xdr:row>28</xdr:row>
      <xdr:rowOff>143760</xdr:rowOff>
    </xdr:to>
    <xdr:sp macro="" textlink="">
      <xdr:nvSpPr>
        <xdr:cNvPr id="61" name="TextBox 60">
          <a:extLst>
            <a:ext uri="{FF2B5EF4-FFF2-40B4-BE49-F238E27FC236}">
              <a16:creationId xmlns:a16="http://schemas.microsoft.com/office/drawing/2014/main" id="{9C998D71-E28B-44A7-A7D0-58D768C29A13}"/>
            </a:ext>
          </a:extLst>
        </xdr:cNvPr>
        <xdr:cNvSpPr txBox="1"/>
      </xdr:nvSpPr>
      <xdr:spPr>
        <a:xfrm>
          <a:off x="10216143" y="5072422"/>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Attrition by</a:t>
          </a:r>
          <a:r>
            <a:rPr lang="en-US" sz="1600" b="1" baseline="0">
              <a:solidFill>
                <a:srgbClr val="602928"/>
              </a:solidFill>
            </a:rPr>
            <a:t> Marital Status</a:t>
          </a:r>
          <a:endParaRPr lang="en-US" sz="1600" b="1">
            <a:solidFill>
              <a:srgbClr val="602928"/>
            </a:solidFill>
          </a:endParaRPr>
        </a:p>
      </xdr:txBody>
    </xdr:sp>
    <xdr:clientData/>
  </xdr:twoCellAnchor>
  <xdr:twoCellAnchor>
    <xdr:from>
      <xdr:col>20</xdr:col>
      <xdr:colOff>226088</xdr:colOff>
      <xdr:row>26</xdr:row>
      <xdr:rowOff>182316</xdr:rowOff>
    </xdr:from>
    <xdr:to>
      <xdr:col>24</xdr:col>
      <xdr:colOff>561032</xdr:colOff>
      <xdr:row>28</xdr:row>
      <xdr:rowOff>138805</xdr:rowOff>
    </xdr:to>
    <xdr:sp macro="" textlink="">
      <xdr:nvSpPr>
        <xdr:cNvPr id="62" name="TextBox 61">
          <a:extLst>
            <a:ext uri="{FF2B5EF4-FFF2-40B4-BE49-F238E27FC236}">
              <a16:creationId xmlns:a16="http://schemas.microsoft.com/office/drawing/2014/main" id="{A1F2BD6A-F42C-433F-AAB9-549F169B0565}"/>
            </a:ext>
          </a:extLst>
        </xdr:cNvPr>
        <xdr:cNvSpPr txBox="1"/>
      </xdr:nvSpPr>
      <xdr:spPr>
        <a:xfrm>
          <a:off x="13378417" y="5067467"/>
          <a:ext cx="2965410" cy="33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Filter</a:t>
          </a:r>
          <a:r>
            <a:rPr lang="en-US" sz="1600" b="1" baseline="0">
              <a:solidFill>
                <a:srgbClr val="602928"/>
              </a:solidFill>
            </a:rPr>
            <a:t> Panel</a:t>
          </a:r>
          <a:endParaRPr lang="en-US" sz="1600" b="1">
            <a:solidFill>
              <a:srgbClr val="602928"/>
            </a:solidFill>
          </a:endParaRPr>
        </a:p>
      </xdr:txBody>
    </xdr:sp>
    <xdr:clientData/>
  </xdr:twoCellAnchor>
  <xdr:twoCellAnchor>
    <xdr:from>
      <xdr:col>9</xdr:col>
      <xdr:colOff>141952</xdr:colOff>
      <xdr:row>28</xdr:row>
      <xdr:rowOff>187889</xdr:rowOff>
    </xdr:from>
    <xdr:to>
      <xdr:col>15</xdr:col>
      <xdr:colOff>8373</xdr:colOff>
      <xdr:row>40</xdr:row>
      <xdr:rowOff>139060</xdr:rowOff>
    </xdr:to>
    <xdr:graphicFrame macro="">
      <xdr:nvGraphicFramePr>
        <xdr:cNvPr id="63" name="Chart 62">
          <a:extLst>
            <a:ext uri="{FF2B5EF4-FFF2-40B4-BE49-F238E27FC236}">
              <a16:creationId xmlns:a16="http://schemas.microsoft.com/office/drawing/2014/main" id="{AC16F657-315B-49DA-8035-00D2FA78C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287306</xdr:colOff>
      <xdr:row>28</xdr:row>
      <xdr:rowOff>162054</xdr:rowOff>
    </xdr:from>
    <xdr:to>
      <xdr:col>19</xdr:col>
      <xdr:colOff>611275</xdr:colOff>
      <xdr:row>39</xdr:row>
      <xdr:rowOff>177452</xdr:rowOff>
    </xdr:to>
    <mc:AlternateContent xmlns:mc="http://schemas.openxmlformats.org/markup-compatibility/2006">
      <mc:Choice xmlns:cx2="http://schemas.microsoft.com/office/drawing/2015/10/21/chartex" Requires="cx2">
        <xdr:graphicFrame macro="">
          <xdr:nvGraphicFramePr>
            <xdr:cNvPr id="65" name="Chart 64">
              <a:extLst>
                <a:ext uri="{FF2B5EF4-FFF2-40B4-BE49-F238E27FC236}">
                  <a16:creationId xmlns:a16="http://schemas.microsoft.com/office/drawing/2014/main" id="{1C250ECA-F264-4D8F-8D2A-CE125C3715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17106" y="5496054"/>
              <a:ext cx="2945249" cy="21108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511480</xdr:colOff>
      <xdr:row>29</xdr:row>
      <xdr:rowOff>114823</xdr:rowOff>
    </xdr:from>
    <xdr:to>
      <xdr:col>24</xdr:col>
      <xdr:colOff>431112</xdr:colOff>
      <xdr:row>36</xdr:row>
      <xdr:rowOff>83508</xdr:rowOff>
    </xdr:to>
    <mc:AlternateContent xmlns:mc="http://schemas.openxmlformats.org/markup-compatibility/2006" xmlns:a14="http://schemas.microsoft.com/office/drawing/2010/main">
      <mc:Choice Requires="a14">
        <xdr:graphicFrame macro="">
          <xdr:nvGraphicFramePr>
            <xdr:cNvPr id="66" name="Department 1">
              <a:extLst>
                <a:ext uri="{FF2B5EF4-FFF2-40B4-BE49-F238E27FC236}">
                  <a16:creationId xmlns:a16="http://schemas.microsoft.com/office/drawing/2014/main" id="{B59E2BA3-983B-4099-B86B-766A306C874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849112" y="5639323"/>
              <a:ext cx="1223053" cy="1302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187890</xdr:colOff>
      <xdr:row>29</xdr:row>
      <xdr:rowOff>83506</xdr:rowOff>
    </xdr:from>
    <xdr:to>
      <xdr:col>22</xdr:col>
      <xdr:colOff>480164</xdr:colOff>
      <xdr:row>40</xdr:row>
      <xdr:rowOff>146137</xdr:rowOff>
    </xdr:to>
    <mc:AlternateContent xmlns:mc="http://schemas.openxmlformats.org/markup-compatibility/2006" xmlns:a14="http://schemas.microsoft.com/office/drawing/2010/main">
      <mc:Choice Requires="a14">
        <xdr:graphicFrame macro="">
          <xdr:nvGraphicFramePr>
            <xdr:cNvPr id="67" name="Education Field 4">
              <a:extLst>
                <a:ext uri="{FF2B5EF4-FFF2-40B4-BE49-F238E27FC236}">
                  <a16:creationId xmlns:a16="http://schemas.microsoft.com/office/drawing/2014/main" id="{602A3012-A6C0-4C29-AFFB-CD68DFD67D8D}"/>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13427122" y="5448822"/>
              <a:ext cx="1597077" cy="2132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229644</xdr:colOff>
      <xdr:row>28</xdr:row>
      <xdr:rowOff>135699</xdr:rowOff>
    </xdr:from>
    <xdr:to>
      <xdr:col>22</xdr:col>
      <xdr:colOff>438411</xdr:colOff>
      <xdr:row>29</xdr:row>
      <xdr:rowOff>125260</xdr:rowOff>
    </xdr:to>
    <xdr:sp macro="" textlink="">
      <xdr:nvSpPr>
        <xdr:cNvPr id="64" name="TextBox 63">
          <a:extLst>
            <a:ext uri="{FF2B5EF4-FFF2-40B4-BE49-F238E27FC236}">
              <a16:creationId xmlns:a16="http://schemas.microsoft.com/office/drawing/2014/main" id="{2C9921E9-3591-157A-0CF2-DF36BAD3A987}"/>
            </a:ext>
          </a:extLst>
        </xdr:cNvPr>
        <xdr:cNvSpPr txBox="1"/>
      </xdr:nvSpPr>
      <xdr:spPr>
        <a:xfrm>
          <a:off x="13381973" y="5396631"/>
          <a:ext cx="1524000" cy="177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5">
                  <a:lumMod val="50000"/>
                </a:schemeClr>
              </a:solidFill>
            </a:rPr>
            <a:t>Education Field</a:t>
          </a:r>
        </a:p>
      </xdr:txBody>
    </xdr:sp>
    <xdr:clientData/>
  </xdr:twoCellAnchor>
  <xdr:twoCellAnchor>
    <xdr:from>
      <xdr:col>22</xdr:col>
      <xdr:colOff>423797</xdr:colOff>
      <xdr:row>28</xdr:row>
      <xdr:rowOff>114823</xdr:rowOff>
    </xdr:from>
    <xdr:to>
      <xdr:col>24</xdr:col>
      <xdr:colOff>594986</xdr:colOff>
      <xdr:row>29</xdr:row>
      <xdr:rowOff>167015</xdr:rowOff>
    </xdr:to>
    <xdr:sp macro="" textlink="">
      <xdr:nvSpPr>
        <xdr:cNvPr id="68" name="TextBox 67">
          <a:extLst>
            <a:ext uri="{FF2B5EF4-FFF2-40B4-BE49-F238E27FC236}">
              <a16:creationId xmlns:a16="http://schemas.microsoft.com/office/drawing/2014/main" id="{E226DC30-D15C-4220-84BC-399E5DCC5465}"/>
            </a:ext>
          </a:extLst>
        </xdr:cNvPr>
        <xdr:cNvSpPr txBox="1"/>
      </xdr:nvSpPr>
      <xdr:spPr>
        <a:xfrm>
          <a:off x="14891359" y="5375755"/>
          <a:ext cx="1486422" cy="24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5">
                  <a:lumMod val="50000"/>
                </a:schemeClr>
              </a:solidFill>
            </a:rPr>
            <a:t>Department</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0.23718</cdr:x>
      <cdr:y>0.32867</cdr:y>
    </cdr:from>
    <cdr:to>
      <cdr:x>0.90636</cdr:x>
      <cdr:y>0.72727</cdr:y>
    </cdr:to>
    <cdr:sp macro="" textlink="Gender!$B$11">
      <cdr:nvSpPr>
        <cdr:cNvPr id="2" name="TextBox 1">
          <a:extLst xmlns:a="http://schemas.openxmlformats.org/drawingml/2006/main">
            <a:ext uri="{FF2B5EF4-FFF2-40B4-BE49-F238E27FC236}">
              <a16:creationId xmlns:a16="http://schemas.microsoft.com/office/drawing/2014/main" id="{E21582F0-7EE0-1309-7760-C40ADDAF3474}"/>
            </a:ext>
          </a:extLst>
        </cdr:cNvPr>
        <cdr:cNvSpPr txBox="1"/>
      </cdr:nvSpPr>
      <cdr:spPr>
        <a:xfrm xmlns:a="http://schemas.openxmlformats.org/drawingml/2006/main">
          <a:off x="234461" y="393561"/>
          <a:ext cx="661517" cy="47729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CF3AE64-6164-4E02-B6BD-A6BAC1639EFE}" type="TxLink">
            <a:rPr lang="en-US" sz="1800" b="1" i="0" u="none" strike="noStrike" kern="1200">
              <a:solidFill>
                <a:srgbClr val="000000"/>
              </a:solidFill>
              <a:latin typeface="Calibri"/>
              <a:ea typeface="Calibri"/>
              <a:cs typeface="Calibri"/>
            </a:rPr>
            <a:pPr/>
            <a:t>882</a:t>
          </a:fld>
          <a:endParaRPr lang="en-US" sz="1800" b="1" kern="1200"/>
        </a:p>
      </cdr:txBody>
    </cdr:sp>
  </cdr:relSizeAnchor>
</c:userShapes>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4.390389814813" createdVersion="8" refreshedVersion="8" minRefreshableVersion="3" recordCount="1470" xr:uid="{1078642F-B040-4DE3-9B89-F38E50A286FD}">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89647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12B453-6077-411D-BDA1-EBC7EEAE46E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formats count="2">
    <format dxfId="134">
      <pivotArea dataOnly="0" labelOnly="1" outline="0" axis="axisValues" fieldPosition="0"/>
    </format>
    <format dxfId="133">
      <pivotArea dataOnly="0" labelOnly="1" outline="0" fieldPosition="0">
        <references count="1">
          <reference field="4294967294" count="3">
            <x v="0"/>
            <x v="1"/>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F261C8-704E-42BB-9386-54550B6CE9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3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C3F0A-E3C1-4D11-A3C7-9BDF17FD3A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224045-D6A3-4FC8-853C-A3691A8D80AE}"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4">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3" count="1" selected="0">
            <x v="4"/>
          </reference>
        </references>
      </pivotArea>
    </chartFormat>
    <chartFormat chart="7" format="4">
      <pivotArea type="data" outline="0" fieldPosition="0">
        <references count="2">
          <reference field="4294967294" count="1" selected="0">
            <x v="0"/>
          </reference>
          <reference field="2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D594D-9B46-4100-9BBC-B1A03CDEF242}"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7988D3-83D1-4D7E-8FEC-5205E7F75A67}"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C7B18D-81EA-435B-B33E-6D0E905EAEC2}"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B7ED78-6CBF-4B7D-B468-E09012EF8D64}"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3F22AEB-7BB8-4D28-A531-FFCD60B28C0B}" sourceName="Gender">
  <pivotTables>
    <pivotTable tabId="9" name="PivotTable3"/>
    <pivotTable tabId="13" name="Attrition by Age Group"/>
    <pivotTable tabId="11" name="Attrition by job"/>
    <pivotTable tabId="12" name="Dept wise Attrition"/>
    <pivotTable tabId="10" name="Education by Attrition"/>
    <pivotTable tabId="7" name="KPI"/>
    <pivotTable tabId="14" name="Marital Status"/>
    <pivotTable tabId="8" name="PivotTable1"/>
  </pivotTables>
  <data>
    <tabular pivotCacheId="48964754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4A6D97-AA63-42CF-8029-90629DCAA3FA}" sourceName="Department">
  <pivotTables>
    <pivotTable tabId="13" name="Attrition by Age Group"/>
    <pivotTable tabId="11" name="Attrition by job"/>
    <pivotTable tabId="12" name="Dept wise Attrition"/>
    <pivotTable tabId="10" name="Education by Attrition"/>
    <pivotTable tabId="9" name="PivotTable3"/>
    <pivotTable tabId="7" name="KPI"/>
    <pivotTable tabId="14" name="Marital Status"/>
    <pivotTable tabId="8" name="PivotTable1"/>
  </pivotTables>
  <data>
    <tabular pivotCacheId="48964754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FC9AD51E-819E-45A6-90C2-5B8E08737637}" sourceName="Education Field">
  <pivotTables>
    <pivotTable tabId="13" name="Attrition by Age Group"/>
    <pivotTable tabId="11" name="Attrition by job"/>
    <pivotTable tabId="12" name="Dept wise Attrition"/>
    <pivotTable tabId="10" name="Education by Attrition"/>
    <pivotTable tabId="9" name="PivotTable3"/>
    <pivotTable tabId="7" name="KPI"/>
    <pivotTable tabId="14" name="Marital Status"/>
    <pivotTable tabId="8" name="PivotTable1"/>
  </pivotTables>
  <data>
    <tabular pivotCacheId="489647545">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4F12F5E-89D8-4260-A6E3-F59D02A58EEE}"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D811FDB-1032-4BBE-B427-B3E574092957}" cache="Slicer_Gender2" caption="Gender" rowHeight="260350"/>
  <slicer name="Education Field" xr10:uid="{3D98B858-6017-4FC5-A88A-256CCD805B55}"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B000FD8-424B-4B97-9E9C-96B202AAC3D6}" cache="Slicer_Gender2" caption="Gender" rowHeight="260350"/>
  <slicer name="Education Field 2" xr10:uid="{D605E888-2BBF-4F6C-9629-A8521384DD4A}"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A58C3AB-E041-404D-B99C-2DE1B9D19674}" cache="Slicer_Department" caption="Department" rowHeight="260350"/>
  <slicer name="Education Field 3" xr10:uid="{A9814724-758B-43EF-B105-DF305681E42D}"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200A2EB-BE5A-4715-8E5F-18F55777B52F}" cache="Slicer_Gender2" caption="Gender" columnCount="2" style="Sclicer" rowHeight="260350"/>
  <slicer name="Department 1" xr10:uid="{96296289-580C-4B1C-A2FB-39A23C835103}" cache="Slicer_Department" style="Sclicer" rowHeight="260350"/>
  <slicer name="Education Field 4" xr10:uid="{10DDD8D2-59DF-4BC3-A3AA-DDB8E82E1B61}" cache="Slicer_Education_Field2" style="Sc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A128-8687-4A66-88E6-A6E3D04005A7}">
  <sheetPr codeName="Sheet1"/>
  <dimension ref="A3:E8"/>
  <sheetViews>
    <sheetView workbookViewId="0">
      <selection activeCell="A6" sqref="A6"/>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s="5" t="s">
        <v>1554</v>
      </c>
      <c r="B3" s="6" t="s">
        <v>1555</v>
      </c>
      <c r="C3" s="7" t="s">
        <v>1556</v>
      </c>
    </row>
    <row r="4" spans="1:5" x14ac:dyDescent="0.3">
      <c r="A4" s="22">
        <v>1470</v>
      </c>
      <c r="B4" s="23">
        <v>237</v>
      </c>
      <c r="C4" s="24">
        <v>36.923809523809524</v>
      </c>
    </row>
    <row r="7" spans="1:5" x14ac:dyDescent="0.3">
      <c r="A7" s="2" t="s">
        <v>1557</v>
      </c>
      <c r="B7" s="2" t="s">
        <v>1558</v>
      </c>
      <c r="C7" s="2" t="s">
        <v>1559</v>
      </c>
      <c r="D7" s="2" t="s">
        <v>1560</v>
      </c>
      <c r="E7" s="2" t="s">
        <v>1561</v>
      </c>
    </row>
    <row r="8" spans="1:5" x14ac:dyDescent="0.3">
      <c r="A8">
        <f>A4</f>
        <v>1470</v>
      </c>
      <c r="B8">
        <f>B4</f>
        <v>237</v>
      </c>
      <c r="C8" s="3">
        <f>C4</f>
        <v>36.923809523809524</v>
      </c>
      <c r="D8">
        <f>A8-B8</f>
        <v>1233</v>
      </c>
      <c r="E8" s="4">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B3F0-22B3-4A29-906E-5FAA674EA4D5}">
  <sheetPr codeName="Sheet2"/>
  <dimension ref="A3:C7"/>
  <sheetViews>
    <sheetView workbookViewId="0">
      <selection activeCell="C11" sqref="C11"/>
    </sheetView>
  </sheetViews>
  <sheetFormatPr defaultRowHeight="15.6" x14ac:dyDescent="0.3"/>
  <cols>
    <col min="1" max="1" width="23.59765625" bestFit="1" customWidth="1"/>
    <col min="2" max="2" width="9.09765625" customWidth="1"/>
  </cols>
  <sheetData>
    <row r="3" spans="1:3" x14ac:dyDescent="0.3">
      <c r="A3" s="8" t="s">
        <v>1562</v>
      </c>
    </row>
    <row r="4" spans="1:3" x14ac:dyDescent="0.3">
      <c r="A4" s="9">
        <v>2.6265306122448981</v>
      </c>
    </row>
    <row r="6" spans="1:3" x14ac:dyDescent="0.3">
      <c r="A6" t="s">
        <v>1563</v>
      </c>
      <c r="B6" s="10">
        <f>A4</f>
        <v>2.6265306122448981</v>
      </c>
      <c r="C6">
        <f>B6/4</f>
        <v>0.65663265306122454</v>
      </c>
    </row>
    <row r="7" spans="1:3" x14ac:dyDescent="0.3">
      <c r="A7" t="s">
        <v>1564</v>
      </c>
      <c r="B7" s="10">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FD75-93A1-4B39-89F7-E2D06E54C79A}">
  <sheetPr codeName="Sheet3"/>
  <dimension ref="A3:C11"/>
  <sheetViews>
    <sheetView topLeftCell="A2" workbookViewId="0">
      <selection activeCell="C11" sqref="C10:C11"/>
    </sheetView>
  </sheetViews>
  <sheetFormatPr defaultRowHeight="15.6" x14ac:dyDescent="0.3"/>
  <cols>
    <col min="1" max="1" width="12.19921875" bestFit="1" customWidth="1"/>
    <col min="2" max="2" width="22.796875" bestFit="1" customWidth="1"/>
  </cols>
  <sheetData>
    <row r="3" spans="1:3" x14ac:dyDescent="0.3">
      <c r="A3" s="11" t="s">
        <v>1565</v>
      </c>
      <c r="B3" s="8" t="s">
        <v>1567</v>
      </c>
    </row>
    <row r="4" spans="1:3" x14ac:dyDescent="0.3">
      <c r="A4" s="12" t="s">
        <v>51</v>
      </c>
      <c r="B4" s="19">
        <v>588</v>
      </c>
    </row>
    <row r="5" spans="1:3" x14ac:dyDescent="0.3">
      <c r="A5" s="13" t="s">
        <v>62</v>
      </c>
      <c r="B5" s="20">
        <v>882</v>
      </c>
    </row>
    <row r="6" spans="1:3" x14ac:dyDescent="0.3">
      <c r="A6" s="14" t="s">
        <v>1566</v>
      </c>
      <c r="B6" s="21">
        <v>1470</v>
      </c>
    </row>
    <row r="10" spans="1:3" x14ac:dyDescent="0.3">
      <c r="A10" t="s">
        <v>1568</v>
      </c>
      <c r="B10">
        <f>B4</f>
        <v>588</v>
      </c>
      <c r="C10" s="15">
        <f>IFERROR(B10/($B$10+$B$11),)</f>
        <v>0.4</v>
      </c>
    </row>
    <row r="11" spans="1:3" x14ac:dyDescent="0.3">
      <c r="A11" t="s">
        <v>62</v>
      </c>
      <c r="B11">
        <f>B5</f>
        <v>882</v>
      </c>
      <c r="C11" s="15">
        <f>IFERROR(B11/($B$10+$B$11),)</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76ECA-9F3B-4F1A-BB9F-D0ABBF3FD98D}">
  <dimension ref="A3:B9"/>
  <sheetViews>
    <sheetView workbookViewId="0">
      <selection activeCell="K24" sqref="K24"/>
    </sheetView>
  </sheetViews>
  <sheetFormatPr defaultRowHeight="15.6" x14ac:dyDescent="0.3"/>
  <cols>
    <col min="1" max="1" width="16" bestFit="1" customWidth="1"/>
    <col min="2" max="2" width="22.796875" bestFit="1" customWidth="1"/>
  </cols>
  <sheetData>
    <row r="3" spans="1:2" x14ac:dyDescent="0.3">
      <c r="A3" s="11" t="s">
        <v>1565</v>
      </c>
      <c r="B3" s="8" t="s">
        <v>1555</v>
      </c>
    </row>
    <row r="4" spans="1:2" x14ac:dyDescent="0.3">
      <c r="A4" s="12" t="s">
        <v>134</v>
      </c>
      <c r="B4" s="19">
        <v>5</v>
      </c>
    </row>
    <row r="5" spans="1:2" x14ac:dyDescent="0.3">
      <c r="A5" s="13" t="s">
        <v>65</v>
      </c>
      <c r="B5" s="20">
        <v>31</v>
      </c>
    </row>
    <row r="6" spans="1:2" x14ac:dyDescent="0.3">
      <c r="A6" s="13" t="s">
        <v>55</v>
      </c>
      <c r="B6" s="20">
        <v>44</v>
      </c>
    </row>
    <row r="7" spans="1:2" x14ac:dyDescent="0.3">
      <c r="A7" s="13" t="s">
        <v>71</v>
      </c>
      <c r="B7" s="20">
        <v>58</v>
      </c>
    </row>
    <row r="8" spans="1:2" x14ac:dyDescent="0.3">
      <c r="A8" s="13" t="s">
        <v>77</v>
      </c>
      <c r="B8" s="20">
        <v>99</v>
      </c>
    </row>
    <row r="9" spans="1:2" x14ac:dyDescent="0.3">
      <c r="A9" s="14"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10206-8DFA-400F-869D-683B80C4A46B}">
  <dimension ref="A3:E13"/>
  <sheetViews>
    <sheetView workbookViewId="0">
      <selection activeCell="O16" sqref="O16"/>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1" t="s">
        <v>1565</v>
      </c>
      <c r="B3" s="8" t="s">
        <v>1555</v>
      </c>
      <c r="D3" t="s">
        <v>9</v>
      </c>
      <c r="E3" t="s">
        <v>0</v>
      </c>
    </row>
    <row r="4" spans="1:5" x14ac:dyDescent="0.3">
      <c r="A4" s="12" t="s">
        <v>83</v>
      </c>
      <c r="B4" s="19">
        <v>9</v>
      </c>
      <c r="D4" t="str">
        <f>A4</f>
        <v>Healthcare Representative</v>
      </c>
      <c r="E4">
        <f>B4</f>
        <v>9</v>
      </c>
    </row>
    <row r="5" spans="1:5" x14ac:dyDescent="0.3">
      <c r="A5" s="13" t="s">
        <v>163</v>
      </c>
      <c r="B5" s="20">
        <v>12</v>
      </c>
      <c r="D5" t="str">
        <f t="shared" ref="D5:D12" si="0">A5</f>
        <v>Human Resources</v>
      </c>
      <c r="E5">
        <f t="shared" ref="E5:E12" si="1">B5</f>
        <v>12</v>
      </c>
    </row>
    <row r="6" spans="1:5" x14ac:dyDescent="0.3">
      <c r="A6" s="13" t="s">
        <v>68</v>
      </c>
      <c r="B6" s="20">
        <v>62</v>
      </c>
      <c r="D6" t="str">
        <f t="shared" si="0"/>
        <v>Laboratory Technician</v>
      </c>
      <c r="E6">
        <f t="shared" si="1"/>
        <v>62</v>
      </c>
    </row>
    <row r="7" spans="1:5" x14ac:dyDescent="0.3">
      <c r="A7" s="13" t="s">
        <v>95</v>
      </c>
      <c r="B7" s="20">
        <v>5</v>
      </c>
      <c r="D7" t="str">
        <f t="shared" si="0"/>
        <v>Manager</v>
      </c>
      <c r="E7">
        <f t="shared" si="1"/>
        <v>5</v>
      </c>
    </row>
    <row r="8" spans="1:5" x14ac:dyDescent="0.3">
      <c r="A8" s="13" t="s">
        <v>81</v>
      </c>
      <c r="B8" s="20">
        <v>10</v>
      </c>
      <c r="D8" t="str">
        <f t="shared" si="0"/>
        <v>Manufacturing Director</v>
      </c>
      <c r="E8">
        <f t="shared" si="1"/>
        <v>10</v>
      </c>
    </row>
    <row r="9" spans="1:5" x14ac:dyDescent="0.3">
      <c r="A9" s="13" t="s">
        <v>101</v>
      </c>
      <c r="B9" s="20">
        <v>2</v>
      </c>
      <c r="D9" t="str">
        <f t="shared" si="0"/>
        <v>Research Director</v>
      </c>
      <c r="E9">
        <f t="shared" si="1"/>
        <v>2</v>
      </c>
    </row>
    <row r="10" spans="1:5" x14ac:dyDescent="0.3">
      <c r="A10" s="13" t="s">
        <v>63</v>
      </c>
      <c r="B10" s="20">
        <v>47</v>
      </c>
      <c r="D10" t="str">
        <f t="shared" si="0"/>
        <v>Research Scientist</v>
      </c>
      <c r="E10">
        <f t="shared" si="1"/>
        <v>47</v>
      </c>
    </row>
    <row r="11" spans="1:5" x14ac:dyDescent="0.3">
      <c r="A11" s="13" t="s">
        <v>52</v>
      </c>
      <c r="B11" s="20">
        <v>57</v>
      </c>
      <c r="D11" t="str">
        <f t="shared" si="0"/>
        <v>Sales Executive</v>
      </c>
      <c r="E11">
        <f t="shared" si="1"/>
        <v>57</v>
      </c>
    </row>
    <row r="12" spans="1:5" x14ac:dyDescent="0.3">
      <c r="A12" s="13" t="s">
        <v>99</v>
      </c>
      <c r="B12" s="20">
        <v>33</v>
      </c>
      <c r="D12" t="str">
        <f t="shared" si="0"/>
        <v>Sales Representative</v>
      </c>
      <c r="E12">
        <f t="shared" si="1"/>
        <v>33</v>
      </c>
    </row>
    <row r="13" spans="1:5" x14ac:dyDescent="0.3">
      <c r="A13" s="14"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6F640-FE25-4C22-8C66-AA46EA35AF89}">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1" t="s">
        <v>1565</v>
      </c>
      <c r="B3" s="8" t="s">
        <v>1555</v>
      </c>
    </row>
    <row r="4" spans="1:2" x14ac:dyDescent="0.3">
      <c r="A4" s="12" t="s">
        <v>161</v>
      </c>
      <c r="B4" s="16">
        <v>5.0632911392405063E-2</v>
      </c>
    </row>
    <row r="5" spans="1:2" x14ac:dyDescent="0.3">
      <c r="A5" s="13" t="s">
        <v>60</v>
      </c>
      <c r="B5" s="17">
        <v>0.56118143459915615</v>
      </c>
    </row>
    <row r="6" spans="1:2" x14ac:dyDescent="0.3">
      <c r="A6" s="13" t="s">
        <v>48</v>
      </c>
      <c r="B6" s="17">
        <v>0.3881856540084388</v>
      </c>
    </row>
    <row r="7" spans="1:2" x14ac:dyDescent="0.3">
      <c r="A7" s="14" t="s">
        <v>1566</v>
      </c>
      <c r="B7"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D1E3-632C-4A58-9237-6714B505ED02}">
  <dimension ref="A3:B9"/>
  <sheetViews>
    <sheetView workbookViewId="0">
      <selection activeCell="Q4" sqref="Q4"/>
    </sheetView>
  </sheetViews>
  <sheetFormatPr defaultRowHeight="15.6" x14ac:dyDescent="0.3"/>
  <cols>
    <col min="1" max="1" width="12.19921875" bestFit="1" customWidth="1"/>
    <col min="2" max="2" width="22.796875" bestFit="1" customWidth="1"/>
  </cols>
  <sheetData>
    <row r="3" spans="1:2" x14ac:dyDescent="0.3">
      <c r="A3" s="11" t="s">
        <v>1565</v>
      </c>
      <c r="B3" s="8" t="s">
        <v>1555</v>
      </c>
    </row>
    <row r="4" spans="1:2" x14ac:dyDescent="0.3">
      <c r="A4" s="12" t="s">
        <v>69</v>
      </c>
      <c r="B4" s="19">
        <v>112</v>
      </c>
    </row>
    <row r="5" spans="1:2" x14ac:dyDescent="0.3">
      <c r="A5" s="13" t="s">
        <v>46</v>
      </c>
      <c r="B5" s="20">
        <v>51</v>
      </c>
    </row>
    <row r="6" spans="1:2" x14ac:dyDescent="0.3">
      <c r="A6" s="13" t="s">
        <v>92</v>
      </c>
      <c r="B6" s="20">
        <v>38</v>
      </c>
    </row>
    <row r="7" spans="1:2" x14ac:dyDescent="0.3">
      <c r="A7" s="13" t="s">
        <v>58</v>
      </c>
      <c r="B7" s="20">
        <v>25</v>
      </c>
    </row>
    <row r="8" spans="1:2" x14ac:dyDescent="0.3">
      <c r="A8" s="13" t="s">
        <v>75</v>
      </c>
      <c r="B8" s="20">
        <v>11</v>
      </c>
    </row>
    <row r="9" spans="1:2" x14ac:dyDescent="0.3">
      <c r="A9" s="14"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33E2-DC97-4619-9776-8C9CEB700B94}">
  <dimension ref="A3:E7"/>
  <sheetViews>
    <sheetView workbookViewId="0">
      <selection activeCell="L7" sqref="L7"/>
    </sheetView>
  </sheetViews>
  <sheetFormatPr defaultRowHeight="15.6" x14ac:dyDescent="0.3"/>
  <cols>
    <col min="1" max="1" width="12.19921875" bestFit="1" customWidth="1"/>
    <col min="2" max="2" width="16" bestFit="1" customWidth="1"/>
    <col min="3" max="3" width="11.296875" customWidth="1"/>
    <col min="4" max="4" width="12.69921875" bestFit="1" customWidth="1"/>
  </cols>
  <sheetData>
    <row r="3" spans="1:5" x14ac:dyDescent="0.3">
      <c r="A3" s="11" t="s">
        <v>1565</v>
      </c>
      <c r="B3" s="8" t="s">
        <v>1569</v>
      </c>
      <c r="D3" t="s">
        <v>10</v>
      </c>
    </row>
    <row r="4" spans="1:5" x14ac:dyDescent="0.3">
      <c r="A4" s="12" t="s">
        <v>79</v>
      </c>
      <c r="B4" s="19">
        <v>327</v>
      </c>
      <c r="D4" t="str">
        <f t="shared" ref="D4:E6" si="0">A4</f>
        <v>Divorced</v>
      </c>
      <c r="E4">
        <f t="shared" si="0"/>
        <v>327</v>
      </c>
    </row>
    <row r="5" spans="1:5" x14ac:dyDescent="0.3">
      <c r="A5" s="13" t="s">
        <v>53</v>
      </c>
      <c r="B5" s="20">
        <v>470</v>
      </c>
      <c r="D5" t="str">
        <f t="shared" si="0"/>
        <v>Single</v>
      </c>
      <c r="E5">
        <f t="shared" si="0"/>
        <v>470</v>
      </c>
    </row>
    <row r="6" spans="1:5" x14ac:dyDescent="0.3">
      <c r="A6" s="13" t="s">
        <v>64</v>
      </c>
      <c r="B6" s="20">
        <v>673</v>
      </c>
      <c r="D6" t="str">
        <f t="shared" si="0"/>
        <v>Married</v>
      </c>
      <c r="E6">
        <f t="shared" si="0"/>
        <v>673</v>
      </c>
    </row>
    <row r="7" spans="1:5" x14ac:dyDescent="0.3">
      <c r="A7" s="14" t="s">
        <v>1566</v>
      </c>
      <c r="B7" s="21">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R1471"/>
  <sheetViews>
    <sheetView topLeftCell="A2" workbookViewId="0">
      <selection activeCell="B4" sqref="B4"/>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A20"/>
  <sheetViews>
    <sheetView tabSelected="1" zoomScale="76" zoomScaleNormal="76" workbookViewId="0">
      <selection activeCell="Z24" sqref="Z24"/>
    </sheetView>
  </sheetViews>
  <sheetFormatPr defaultColWidth="11.19921875" defaultRowHeight="15" customHeight="1" x14ac:dyDescent="0.3"/>
  <cols>
    <col min="1" max="26" width="8.59765625" customWidth="1"/>
    <col min="28" max="28" width="11.1992187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lpstr>Background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sandeep lodhi</cp:lastModifiedBy>
  <dcterms:created xsi:type="dcterms:W3CDTF">2022-12-29T16:02:46Z</dcterms:created>
  <dcterms:modified xsi:type="dcterms:W3CDTF">2026-02-03T08:12:11Z</dcterms:modified>
</cp:coreProperties>
</file>